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hidePivotFieldList="1" defaultThemeVersion="166925"/>
  <xr:revisionPtr revIDLastSave="846" documentId="11_E60897F41BE170836B02CE998F75CCDC64E183C8" xr6:coauthVersionLast="47" xr6:coauthVersionMax="47" xr10:uidLastSave="{77DFECB4-01E1-498C-AF27-4F3E4440EBC2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Sheet1!$A$1:$F$30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2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P4" i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3" i="1"/>
  <c r="P2" i="1"/>
  <c r="N2" i="1"/>
  <c r="M3" i="1"/>
  <c r="M4" i="1"/>
  <c r="M5" i="1"/>
  <c r="M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2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D2" i="1"/>
  <c r="L13" i="1"/>
  <c r="L12" i="1"/>
  <c r="L11" i="1"/>
  <c r="L10" i="1"/>
  <c r="L9" i="1"/>
  <c r="L8" i="1"/>
  <c r="L7" i="1"/>
  <c r="L6" i="1"/>
  <c r="L5" i="1"/>
  <c r="L4" i="1"/>
  <c r="L3" i="1"/>
  <c r="L2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54" i="1"/>
  <c r="J55" i="1"/>
  <c r="J56" i="1"/>
  <c r="J57" i="1"/>
  <c r="J58" i="1"/>
  <c r="J59" i="1"/>
  <c r="J60" i="1"/>
  <c r="I54" i="1"/>
  <c r="I55" i="1"/>
  <c r="I56" i="1"/>
  <c r="I57" i="1"/>
  <c r="I58" i="1"/>
  <c r="I59" i="1"/>
  <c r="H54" i="1"/>
  <c r="H55" i="1"/>
  <c r="H56" i="1"/>
  <c r="H57" i="1"/>
  <c r="H58" i="1"/>
  <c r="H59" i="1"/>
  <c r="H60" i="1"/>
  <c r="D54" i="1"/>
  <c r="D55" i="1"/>
  <c r="D56" i="1"/>
  <c r="D57" i="1"/>
  <c r="D58" i="1"/>
  <c r="D59" i="1"/>
  <c r="J44" i="1"/>
  <c r="J45" i="1"/>
  <c r="J46" i="1"/>
  <c r="J47" i="1"/>
  <c r="J48" i="1"/>
  <c r="J49" i="1"/>
  <c r="J50" i="1"/>
  <c r="J51" i="1"/>
  <c r="J52" i="1"/>
  <c r="J53" i="1"/>
  <c r="I44" i="1"/>
  <c r="I45" i="1"/>
  <c r="I46" i="1"/>
  <c r="I47" i="1"/>
  <c r="I48" i="1"/>
  <c r="I49" i="1"/>
  <c r="I50" i="1"/>
  <c r="I51" i="1"/>
  <c r="I52" i="1"/>
  <c r="D44" i="1"/>
  <c r="D45" i="1"/>
  <c r="D46" i="1"/>
  <c r="D47" i="1"/>
  <c r="D48" i="1"/>
  <c r="D49" i="1"/>
  <c r="D50" i="1"/>
  <c r="D51" i="1"/>
  <c r="D52" i="1"/>
  <c r="H44" i="1"/>
  <c r="H45" i="1"/>
  <c r="H46" i="1"/>
  <c r="H47" i="1"/>
  <c r="H48" i="1"/>
  <c r="H49" i="1"/>
  <c r="H50" i="1"/>
  <c r="H51" i="1"/>
  <c r="H52" i="1"/>
  <c r="H53" i="1"/>
  <c r="D38" i="1"/>
  <c r="D39" i="1"/>
  <c r="D40" i="1"/>
  <c r="D41" i="1"/>
  <c r="D42" i="1"/>
  <c r="J37" i="1"/>
  <c r="J38" i="1"/>
  <c r="J39" i="1"/>
  <c r="J40" i="1"/>
  <c r="J41" i="1"/>
  <c r="J42" i="1"/>
  <c r="J43" i="1"/>
  <c r="I38" i="1"/>
  <c r="I39" i="1"/>
  <c r="I40" i="1"/>
  <c r="I41" i="1"/>
  <c r="I42" i="1"/>
  <c r="I37" i="1"/>
  <c r="H37" i="1"/>
  <c r="H38" i="1"/>
  <c r="H39" i="1"/>
  <c r="H40" i="1"/>
  <c r="H41" i="1"/>
  <c r="H42" i="1"/>
  <c r="H43" i="1"/>
  <c r="D37" i="1"/>
  <c r="J28" i="1"/>
  <c r="J29" i="1"/>
  <c r="J30" i="1"/>
  <c r="J31" i="1"/>
  <c r="J32" i="1"/>
  <c r="J33" i="1"/>
  <c r="J34" i="1"/>
  <c r="J35" i="1"/>
  <c r="J36" i="1"/>
  <c r="I28" i="1"/>
  <c r="I29" i="1"/>
  <c r="I30" i="1"/>
  <c r="I31" i="1"/>
  <c r="I32" i="1"/>
  <c r="I33" i="1"/>
  <c r="I34" i="1"/>
  <c r="I35" i="1"/>
  <c r="H28" i="1"/>
  <c r="H29" i="1"/>
  <c r="H30" i="1"/>
  <c r="H31" i="1"/>
  <c r="H32" i="1"/>
  <c r="H33" i="1"/>
  <c r="H34" i="1"/>
  <c r="H35" i="1"/>
  <c r="H36" i="1"/>
  <c r="D28" i="1"/>
  <c r="D29" i="1"/>
  <c r="D30" i="1"/>
  <c r="D31" i="1"/>
  <c r="D32" i="1"/>
  <c r="D33" i="1"/>
  <c r="D34" i="1"/>
  <c r="D35" i="1"/>
  <c r="J19" i="1"/>
  <c r="J20" i="1"/>
  <c r="J21" i="1"/>
  <c r="J22" i="1"/>
  <c r="J23" i="1"/>
  <c r="J24" i="1"/>
  <c r="J25" i="1"/>
  <c r="J26" i="1"/>
  <c r="J27" i="1"/>
  <c r="I19" i="1"/>
  <c r="I20" i="1"/>
  <c r="I21" i="1"/>
  <c r="I22" i="1"/>
  <c r="I23" i="1"/>
  <c r="I24" i="1"/>
  <c r="I25" i="1"/>
  <c r="I26" i="1"/>
  <c r="I27" i="1"/>
  <c r="H27" i="1"/>
  <c r="H19" i="1"/>
  <c r="H20" i="1"/>
  <c r="H21" i="1"/>
  <c r="H22" i="1"/>
  <c r="H23" i="1"/>
  <c r="H24" i="1"/>
  <c r="H25" i="1"/>
  <c r="H26" i="1"/>
  <c r="D19" i="1"/>
  <c r="D20" i="1"/>
  <c r="D21" i="1"/>
  <c r="D22" i="1"/>
  <c r="D23" i="1"/>
  <c r="D24" i="1"/>
  <c r="D25" i="1"/>
  <c r="D26" i="1"/>
  <c r="D27" i="1"/>
  <c r="H11" i="1"/>
  <c r="H12" i="1"/>
  <c r="H13" i="1"/>
  <c r="H14" i="1"/>
  <c r="H15" i="1"/>
  <c r="H16" i="1"/>
  <c r="H17" i="1"/>
  <c r="H18" i="1"/>
  <c r="I12" i="1"/>
  <c r="I13" i="1"/>
  <c r="I14" i="1"/>
  <c r="I15" i="1"/>
  <c r="I16" i="1"/>
  <c r="I17" i="1"/>
  <c r="I18" i="1"/>
  <c r="D12" i="1"/>
  <c r="J12" i="1" s="1"/>
  <c r="D13" i="1"/>
  <c r="J13" i="1" s="1"/>
  <c r="D14" i="1"/>
  <c r="J14" i="1" s="1"/>
  <c r="D15" i="1"/>
  <c r="J15" i="1" s="1"/>
  <c r="D16" i="1"/>
  <c r="J16" i="1" s="1"/>
  <c r="D17" i="1"/>
  <c r="J17" i="1" s="1"/>
  <c r="D18" i="1"/>
  <c r="J18" i="1" s="1"/>
  <c r="J11" i="1"/>
  <c r="I11" i="1"/>
  <c r="D11" i="1"/>
  <c r="J3" i="1"/>
  <c r="J4" i="1"/>
  <c r="J5" i="1"/>
  <c r="J6" i="1"/>
  <c r="J7" i="1"/>
  <c r="J8" i="1"/>
  <c r="J9" i="1"/>
  <c r="J10" i="1"/>
  <c r="J2" i="1"/>
  <c r="H3" i="1"/>
  <c r="H4" i="1"/>
  <c r="H5" i="1"/>
  <c r="H6" i="1"/>
  <c r="H7" i="1"/>
  <c r="H8" i="1"/>
  <c r="H9" i="1"/>
  <c r="H10" i="1"/>
  <c r="I3" i="1"/>
  <c r="I4" i="1"/>
  <c r="I5" i="1"/>
  <c r="I6" i="1"/>
  <c r="I7" i="1"/>
  <c r="I8" i="1"/>
  <c r="I9" i="1"/>
  <c r="I10" i="1"/>
  <c r="I2" i="1"/>
  <c r="H2" i="1"/>
  <c r="D6" i="1"/>
  <c r="D7" i="1"/>
  <c r="D8" i="1"/>
  <c r="D9" i="1"/>
  <c r="D10" i="1"/>
  <c r="D5" i="1"/>
  <c r="D3" i="1"/>
  <c r="D4" i="1"/>
  <c r="M7" i="1" l="1"/>
  <c r="P7" i="1"/>
  <c r="Q7" i="1" s="1"/>
</calcChain>
</file>

<file path=xl/sharedStrings.xml><?xml version="1.0" encoding="utf-8"?>
<sst xmlns="http://schemas.openxmlformats.org/spreadsheetml/2006/main" count="135" uniqueCount="42">
  <si>
    <t>Game</t>
  </si>
  <si>
    <t>Name</t>
  </si>
  <si>
    <t>YACgame</t>
  </si>
  <si>
    <t>YACaverageperplaywithcatchgame</t>
  </si>
  <si>
    <t>targetsgame</t>
  </si>
  <si>
    <t>recgame</t>
  </si>
  <si>
    <t>yardsgame</t>
  </si>
  <si>
    <t>totalyardsgame</t>
  </si>
  <si>
    <t>avgyardsperplaywithcatchgame</t>
  </si>
  <si>
    <t>totalavgyardsperplaywithcatchandyac</t>
  </si>
  <si>
    <t>Gamesplayedwithatleastonetarget</t>
  </si>
  <si>
    <t>YacSeason</t>
  </si>
  <si>
    <t>AverageYacPerGameSeason</t>
  </si>
  <si>
    <t>YardsSeason(Withoutyac)</t>
  </si>
  <si>
    <t>AverageYardsPerGameSeason</t>
  </si>
  <si>
    <t>TotalCombinedYards</t>
  </si>
  <si>
    <t>AverageCombinedTotalYardsPerGameSeason</t>
  </si>
  <si>
    <t>Keiser</t>
  </si>
  <si>
    <t>Payton Rose</t>
  </si>
  <si>
    <t>Kobe Smith</t>
  </si>
  <si>
    <t>Jeff Caldwell</t>
  </si>
  <si>
    <t>Spencer Redd</t>
  </si>
  <si>
    <t>Chase Lanckriet</t>
  </si>
  <si>
    <t>Jalen Bethany</t>
  </si>
  <si>
    <t>Andrew Martin</t>
  </si>
  <si>
    <t>Dom McManus</t>
  </si>
  <si>
    <t>Tyus Hanson</t>
  </si>
  <si>
    <t>HBU</t>
  </si>
  <si>
    <t>Robert Giaimo</t>
  </si>
  <si>
    <t>Darrin Fugitt</t>
  </si>
  <si>
    <t>SEMO</t>
  </si>
  <si>
    <t>Abraham Haerr</t>
  </si>
  <si>
    <t>Justin Williams</t>
  </si>
  <si>
    <t>UCA</t>
  </si>
  <si>
    <t>MSU</t>
  </si>
  <si>
    <t>Connor Mazzotta</t>
  </si>
  <si>
    <t>WJC</t>
  </si>
  <si>
    <t>Jared Rhodes</t>
  </si>
  <si>
    <t>Drew Krobath</t>
  </si>
  <si>
    <t>MCK</t>
  </si>
  <si>
    <t>Donovan Marshall</t>
  </si>
  <si>
    <t>Caleb Unwiller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</si>
</sst>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workbookViewId="0"/>
  </sheetViews>
  <sheetFormatPr defaultRowHeight="15"/>
  <cols>
    <col min="2" max="2" width="22.5703125" customWidth="1"/>
    <col min="3" max="3" width="14.85546875" customWidth="1"/>
    <col min="4" max="4" width="31.140625" style="1" customWidth="1"/>
    <col min="5" max="5" width="14.42578125" customWidth="1"/>
    <col min="7" max="7" width="10.7109375" customWidth="1"/>
    <col min="8" max="8" width="24.140625" customWidth="1"/>
    <col min="9" max="9" width="27.7109375" customWidth="1"/>
    <col min="10" max="10" width="33.140625" customWidth="1"/>
    <col min="11" max="11" width="31.140625" customWidth="1"/>
    <col min="12" max="12" width="17.42578125" customWidth="1"/>
    <col min="13" max="13" width="28" customWidth="1"/>
    <col min="14" max="14" width="24.28515625" customWidth="1"/>
    <col min="15" max="15" width="26.5703125" customWidth="1"/>
    <col min="16" max="16" width="18.28515625" customWidth="1"/>
    <col min="17" max="17" width="38.5703125" customWidth="1"/>
  </cols>
  <sheetData>
    <row r="1" spans="1:1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27</v>
      </c>
      <c r="D2" s="1">
        <f>C2/F2</f>
        <v>3.8571428571428572</v>
      </c>
      <c r="E2">
        <v>9</v>
      </c>
      <c r="F2">
        <v>7</v>
      </c>
      <c r="G2">
        <v>180</v>
      </c>
      <c r="H2">
        <f>C2+G2</f>
        <v>207</v>
      </c>
      <c r="I2">
        <f>G2/F2</f>
        <v>25.714285714285715</v>
      </c>
      <c r="J2">
        <f>(D2+I2)/2</f>
        <v>14.785714285714286</v>
      </c>
      <c r="K2">
        <f>COUNTIF(B2:B60,"Payton Rose")</f>
        <v>7</v>
      </c>
      <c r="L2">
        <f>SUMIF(B2:B60,"Payton Rose",C2:C60)</f>
        <v>110</v>
      </c>
      <c r="M2">
        <f>L2/K2</f>
        <v>15.714285714285714</v>
      </c>
      <c r="N2">
        <f>SUMIF(B2:B60, B2, G2:G60)</f>
        <v>825</v>
      </c>
      <c r="O2">
        <f>N2/K2</f>
        <v>117.85714285714286</v>
      </c>
      <c r="P2">
        <f>L2+N2</f>
        <v>935</v>
      </c>
      <c r="Q2">
        <f>P2/K2</f>
        <v>133.57142857142858</v>
      </c>
    </row>
    <row r="3" spans="1:17">
      <c r="A3" t="s">
        <v>17</v>
      </c>
      <c r="B3" t="s">
        <v>19</v>
      </c>
      <c r="C3">
        <v>54</v>
      </c>
      <c r="D3" s="1">
        <f t="shared" ref="D3:D36" si="0">C3/F3</f>
        <v>10.8</v>
      </c>
      <c r="E3">
        <v>8</v>
      </c>
      <c r="F3">
        <v>5</v>
      </c>
      <c r="G3">
        <v>111</v>
      </c>
      <c r="H3">
        <f t="shared" ref="H3:H60" si="1">C3+G3</f>
        <v>165</v>
      </c>
      <c r="I3">
        <f t="shared" ref="I3:I36" si="2">G3/F3</f>
        <v>22.2</v>
      </c>
      <c r="J3">
        <f t="shared" ref="J3:K44" si="3">(D3+I3)/2</f>
        <v>16.5</v>
      </c>
      <c r="K3">
        <f>COUNTIF(B2:B60,"Kobe Smith")</f>
        <v>7</v>
      </c>
      <c r="L3">
        <f>SUMIF(B2:B60,"Kobe Smith",C2:C60)</f>
        <v>239</v>
      </c>
      <c r="M3">
        <f t="shared" ref="M3:M60" si="4">L3/K3</f>
        <v>34.142857142857146</v>
      </c>
      <c r="N3">
        <f>SUMIF(B2:B60, B3, G2:G60)</f>
        <v>521</v>
      </c>
      <c r="O3">
        <f t="shared" ref="O3:O60" si="5">N3/K3</f>
        <v>74.428571428571431</v>
      </c>
      <c r="P3">
        <f>L3+N3</f>
        <v>760</v>
      </c>
      <c r="Q3">
        <f t="shared" ref="Q3:Q60" si="6">P3/K3</f>
        <v>108.57142857142857</v>
      </c>
    </row>
    <row r="4" spans="1:17">
      <c r="A4" t="s">
        <v>17</v>
      </c>
      <c r="B4" t="s">
        <v>20</v>
      </c>
      <c r="C4">
        <v>0</v>
      </c>
      <c r="D4" s="1">
        <f t="shared" si="0"/>
        <v>0</v>
      </c>
      <c r="E4">
        <v>3</v>
      </c>
      <c r="F4">
        <v>2</v>
      </c>
      <c r="G4">
        <v>32</v>
      </c>
      <c r="H4">
        <f t="shared" si="1"/>
        <v>32</v>
      </c>
      <c r="I4">
        <f t="shared" si="2"/>
        <v>16</v>
      </c>
      <c r="J4">
        <f t="shared" si="3"/>
        <v>8</v>
      </c>
      <c r="K4">
        <f>COUNTIF(B2:B60,"Jeff Caldwell")</f>
        <v>4</v>
      </c>
      <c r="L4">
        <f>SUMIF(B2:B60,B4,C2:C60)</f>
        <v>3</v>
      </c>
      <c r="M4">
        <f t="shared" si="4"/>
        <v>0.75</v>
      </c>
      <c r="N4">
        <f>SUMIF(B2:B60, B4, G2:G60)</f>
        <v>135</v>
      </c>
      <c r="O4">
        <f t="shared" si="5"/>
        <v>33.75</v>
      </c>
      <c r="P4">
        <f t="shared" ref="P4:P60" si="7">L4+N4</f>
        <v>138</v>
      </c>
      <c r="Q4">
        <f t="shared" si="6"/>
        <v>34.5</v>
      </c>
    </row>
    <row r="5" spans="1:17">
      <c r="A5" t="s">
        <v>17</v>
      </c>
      <c r="B5" t="s">
        <v>21</v>
      </c>
      <c r="C5">
        <v>10</v>
      </c>
      <c r="D5" s="1">
        <f t="shared" si="0"/>
        <v>5</v>
      </c>
      <c r="E5">
        <v>5</v>
      </c>
      <c r="F5">
        <v>2</v>
      </c>
      <c r="G5">
        <v>28</v>
      </c>
      <c r="H5">
        <f t="shared" si="1"/>
        <v>38</v>
      </c>
      <c r="I5">
        <f t="shared" si="2"/>
        <v>14</v>
      </c>
      <c r="J5">
        <f t="shared" si="3"/>
        <v>9.5</v>
      </c>
      <c r="K5">
        <f>COUNTIF(B2:B60, "Spencer Redd")</f>
        <v>6</v>
      </c>
      <c r="L5">
        <f>SUMIF(B2:B60,B5,C2:C60)</f>
        <v>45</v>
      </c>
      <c r="M5">
        <f t="shared" si="4"/>
        <v>7.5</v>
      </c>
      <c r="N5">
        <f>SUMIF(B2:B60, B5, G2:G60)</f>
        <v>121</v>
      </c>
      <c r="O5">
        <f t="shared" si="5"/>
        <v>20.166666666666668</v>
      </c>
      <c r="P5">
        <f t="shared" si="7"/>
        <v>166</v>
      </c>
      <c r="Q5">
        <f t="shared" si="6"/>
        <v>27.666666666666668</v>
      </c>
    </row>
    <row r="6" spans="1:17">
      <c r="A6" t="s">
        <v>17</v>
      </c>
      <c r="B6" t="s">
        <v>22</v>
      </c>
      <c r="C6">
        <v>5</v>
      </c>
      <c r="D6" s="1">
        <f t="shared" si="0"/>
        <v>2.5</v>
      </c>
      <c r="E6">
        <v>4</v>
      </c>
      <c r="F6">
        <v>2</v>
      </c>
      <c r="G6">
        <v>18</v>
      </c>
      <c r="H6">
        <f t="shared" si="1"/>
        <v>23</v>
      </c>
      <c r="I6">
        <f t="shared" si="2"/>
        <v>9</v>
      </c>
      <c r="J6">
        <f t="shared" si="3"/>
        <v>5.75</v>
      </c>
      <c r="K6">
        <f>COUNTIF(B2:B60,"Chase Lanckriet")</f>
        <v>6</v>
      </c>
      <c r="L6">
        <f>SUMIF(B2:B60,B6,C2:C60)</f>
        <v>83</v>
      </c>
      <c r="M6">
        <f t="shared" si="4"/>
        <v>13.833333333333334</v>
      </c>
      <c r="N6">
        <f>SUMIF(B2:B60, B6, G2:G60)</f>
        <v>231</v>
      </c>
      <c r="O6">
        <f t="shared" si="5"/>
        <v>38.5</v>
      </c>
      <c r="P6">
        <f t="shared" si="7"/>
        <v>314</v>
      </c>
      <c r="Q6">
        <f t="shared" si="6"/>
        <v>52.333333333333336</v>
      </c>
    </row>
    <row r="7" spans="1:17">
      <c r="A7" t="s">
        <v>17</v>
      </c>
      <c r="B7" t="s">
        <v>23</v>
      </c>
      <c r="C7">
        <v>4</v>
      </c>
      <c r="D7" s="1">
        <f t="shared" si="0"/>
        <v>4</v>
      </c>
      <c r="E7">
        <v>2</v>
      </c>
      <c r="F7">
        <v>1</v>
      </c>
      <c r="G7">
        <v>9</v>
      </c>
      <c r="H7">
        <f t="shared" si="1"/>
        <v>13</v>
      </c>
      <c r="I7">
        <f t="shared" si="2"/>
        <v>9</v>
      </c>
      <c r="J7">
        <f t="shared" si="3"/>
        <v>6.5</v>
      </c>
      <c r="K7">
        <f>COUNTIF(B2:B60,"Jalen Bethany")</f>
        <v>7</v>
      </c>
      <c r="L7">
        <f ca="1">SUMIF(B2:B60,B7,C6:C60)</f>
        <v>65</v>
      </c>
      <c r="M7">
        <f t="shared" ca="1" si="4"/>
        <v>9.2857142857142865</v>
      </c>
      <c r="N7">
        <f>SUMIF(B2:B60, B7, G2:G60)</f>
        <v>145</v>
      </c>
      <c r="O7">
        <f t="shared" si="5"/>
        <v>20.714285714285715</v>
      </c>
      <c r="P7">
        <f t="shared" ca="1" si="7"/>
        <v>210</v>
      </c>
      <c r="Q7">
        <f t="shared" ca="1" si="6"/>
        <v>30</v>
      </c>
    </row>
    <row r="8" spans="1:17">
      <c r="A8" t="s">
        <v>17</v>
      </c>
      <c r="B8" t="s">
        <v>24</v>
      </c>
      <c r="C8">
        <v>13</v>
      </c>
      <c r="D8" s="1">
        <f t="shared" si="0"/>
        <v>13</v>
      </c>
      <c r="E8">
        <v>2</v>
      </c>
      <c r="F8">
        <v>1</v>
      </c>
      <c r="G8">
        <v>8</v>
      </c>
      <c r="H8">
        <f t="shared" si="1"/>
        <v>21</v>
      </c>
      <c r="I8">
        <f t="shared" si="2"/>
        <v>8</v>
      </c>
      <c r="J8">
        <f t="shared" si="3"/>
        <v>10.5</v>
      </c>
      <c r="K8" s="2">
        <f>COUNTIF(B2:B60,"Andrew Martin")</f>
        <v>6</v>
      </c>
      <c r="L8">
        <f>SUMIF(B2:B60,B8,C2:C60)</f>
        <v>124</v>
      </c>
      <c r="M8">
        <f t="shared" si="4"/>
        <v>20.666666666666668</v>
      </c>
      <c r="N8">
        <f>SUMIF(B2:B60, B8, G2:G60)</f>
        <v>141</v>
      </c>
      <c r="O8">
        <f t="shared" si="5"/>
        <v>23.5</v>
      </c>
      <c r="P8">
        <f t="shared" si="7"/>
        <v>265</v>
      </c>
      <c r="Q8">
        <f t="shared" si="6"/>
        <v>44.166666666666664</v>
      </c>
    </row>
    <row r="9" spans="1:17">
      <c r="A9" t="s">
        <v>17</v>
      </c>
      <c r="B9" t="s">
        <v>25</v>
      </c>
      <c r="C9">
        <v>0</v>
      </c>
      <c r="D9" s="1">
        <f t="shared" si="0"/>
        <v>0</v>
      </c>
      <c r="E9">
        <v>2</v>
      </c>
      <c r="F9">
        <v>1</v>
      </c>
      <c r="G9">
        <v>5</v>
      </c>
      <c r="H9">
        <f t="shared" si="1"/>
        <v>5</v>
      </c>
      <c r="I9">
        <f t="shared" si="2"/>
        <v>5</v>
      </c>
      <c r="J9">
        <f t="shared" si="3"/>
        <v>2.5</v>
      </c>
      <c r="K9" s="2">
        <f>COUNTIF(B2:B60,"Dom McManus")</f>
        <v>3</v>
      </c>
      <c r="L9">
        <f>SUMIF(B2:B60,B9,C2:C60)</f>
        <v>6</v>
      </c>
      <c r="M9">
        <f t="shared" si="4"/>
        <v>2</v>
      </c>
      <c r="N9">
        <f>SUMIF(B2:B60, B9, G2:G60)</f>
        <v>20</v>
      </c>
      <c r="O9">
        <f t="shared" si="5"/>
        <v>6.666666666666667</v>
      </c>
      <c r="P9">
        <f t="shared" si="7"/>
        <v>26</v>
      </c>
      <c r="Q9">
        <f t="shared" si="6"/>
        <v>8.6666666666666661</v>
      </c>
    </row>
    <row r="10" spans="1:17">
      <c r="A10" t="s">
        <v>17</v>
      </c>
      <c r="B10" t="s">
        <v>26</v>
      </c>
      <c r="C10">
        <v>0</v>
      </c>
      <c r="D10" s="1">
        <f t="shared" si="0"/>
        <v>0</v>
      </c>
      <c r="E10">
        <v>1</v>
      </c>
      <c r="F10">
        <v>1</v>
      </c>
      <c r="G10">
        <v>4</v>
      </c>
      <c r="H10">
        <f t="shared" si="1"/>
        <v>4</v>
      </c>
      <c r="I10">
        <f t="shared" si="2"/>
        <v>4</v>
      </c>
      <c r="J10">
        <f t="shared" si="3"/>
        <v>2</v>
      </c>
      <c r="K10" s="2">
        <f>COUNTIF(B2:B60,"Tyus Hanson")</f>
        <v>1</v>
      </c>
      <c r="L10">
        <f>SUMIF(B2:B60,B10,C2:C60)</f>
        <v>0</v>
      </c>
      <c r="M10">
        <f t="shared" si="4"/>
        <v>0</v>
      </c>
      <c r="N10">
        <f>SUMIF(B2:B60, B10, G2:G60)</f>
        <v>4</v>
      </c>
      <c r="O10">
        <f t="shared" si="5"/>
        <v>4</v>
      </c>
      <c r="P10">
        <f t="shared" si="7"/>
        <v>4</v>
      </c>
      <c r="Q10">
        <f t="shared" si="6"/>
        <v>4</v>
      </c>
    </row>
    <row r="11" spans="1:17">
      <c r="A11" t="s">
        <v>27</v>
      </c>
      <c r="B11" t="s">
        <v>19</v>
      </c>
      <c r="C11">
        <v>5</v>
      </c>
      <c r="D11" s="1">
        <f t="shared" si="0"/>
        <v>0.83333333333333337</v>
      </c>
      <c r="E11">
        <v>9</v>
      </c>
      <c r="F11">
        <v>6</v>
      </c>
      <c r="G11">
        <v>46</v>
      </c>
      <c r="H11">
        <f t="shared" si="1"/>
        <v>51</v>
      </c>
      <c r="I11">
        <f t="shared" si="2"/>
        <v>7.666666666666667</v>
      </c>
      <c r="J11">
        <f t="shared" si="3"/>
        <v>4.25</v>
      </c>
      <c r="K11" s="2">
        <f>COUNTIF(B2:B60,"Kobe Smith")</f>
        <v>7</v>
      </c>
      <c r="L11">
        <f>SUMIF(B2:B60,B11,C2:C60)</f>
        <v>239</v>
      </c>
      <c r="M11">
        <f t="shared" si="4"/>
        <v>34.142857142857146</v>
      </c>
      <c r="N11">
        <f>SUMIF(B2:B60, B11, G2:G60)</f>
        <v>521</v>
      </c>
      <c r="O11">
        <f t="shared" si="5"/>
        <v>74.428571428571431</v>
      </c>
      <c r="P11">
        <f t="shared" si="7"/>
        <v>760</v>
      </c>
      <c r="Q11">
        <f t="shared" si="6"/>
        <v>108.57142857142857</v>
      </c>
    </row>
    <row r="12" spans="1:17">
      <c r="A12" t="s">
        <v>27</v>
      </c>
      <c r="B12" t="s">
        <v>22</v>
      </c>
      <c r="C12">
        <v>11</v>
      </c>
      <c r="D12" s="1">
        <f t="shared" si="0"/>
        <v>2.2000000000000002</v>
      </c>
      <c r="E12">
        <v>7</v>
      </c>
      <c r="F12">
        <v>5</v>
      </c>
      <c r="G12">
        <v>51</v>
      </c>
      <c r="H12">
        <f t="shared" si="1"/>
        <v>62</v>
      </c>
      <c r="I12">
        <f t="shared" si="2"/>
        <v>10.199999999999999</v>
      </c>
      <c r="J12">
        <f t="shared" si="3"/>
        <v>6.1999999999999993</v>
      </c>
      <c r="K12">
        <f>COUNTIF(B2:B60,"Chase Lanckriet")</f>
        <v>6</v>
      </c>
      <c r="L12">
        <f>SUMIF(B2:B60,B12,C2:C60)</f>
        <v>83</v>
      </c>
      <c r="M12">
        <f t="shared" si="4"/>
        <v>13.833333333333334</v>
      </c>
      <c r="N12">
        <f>SUMIF(B2:B60, B12, G2:G60)</f>
        <v>231</v>
      </c>
      <c r="O12">
        <f t="shared" si="5"/>
        <v>38.5</v>
      </c>
      <c r="P12">
        <f t="shared" si="7"/>
        <v>314</v>
      </c>
      <c r="Q12">
        <f t="shared" si="6"/>
        <v>52.333333333333336</v>
      </c>
    </row>
    <row r="13" spans="1:17">
      <c r="A13" t="s">
        <v>27</v>
      </c>
      <c r="B13" t="s">
        <v>21</v>
      </c>
      <c r="C13">
        <v>22</v>
      </c>
      <c r="D13" s="1">
        <f t="shared" si="0"/>
        <v>4.4000000000000004</v>
      </c>
      <c r="E13">
        <v>6</v>
      </c>
      <c r="F13">
        <v>5</v>
      </c>
      <c r="G13">
        <v>44</v>
      </c>
      <c r="H13">
        <f t="shared" si="1"/>
        <v>66</v>
      </c>
      <c r="I13">
        <f t="shared" si="2"/>
        <v>8.8000000000000007</v>
      </c>
      <c r="J13">
        <f t="shared" si="3"/>
        <v>6.6000000000000005</v>
      </c>
      <c r="K13">
        <f>COUNTIF(B2:B60,"Spencer Redd")</f>
        <v>6</v>
      </c>
      <c r="L13">
        <f>SUMIF(B2:B60,B13,C2:C60)</f>
        <v>45</v>
      </c>
      <c r="M13">
        <f t="shared" si="4"/>
        <v>7.5</v>
      </c>
      <c r="N13">
        <f>SUMIF(B2:B60, B13, G2:G60)</f>
        <v>121</v>
      </c>
      <c r="O13">
        <f t="shared" si="5"/>
        <v>20.166666666666668</v>
      </c>
      <c r="P13">
        <f t="shared" si="7"/>
        <v>166</v>
      </c>
      <c r="Q13">
        <f t="shared" si="6"/>
        <v>27.666666666666668</v>
      </c>
    </row>
    <row r="14" spans="1:17">
      <c r="A14" t="s">
        <v>27</v>
      </c>
      <c r="B14" t="s">
        <v>18</v>
      </c>
      <c r="C14">
        <v>1</v>
      </c>
      <c r="D14" s="1">
        <f t="shared" si="0"/>
        <v>0.33333333333333331</v>
      </c>
      <c r="E14">
        <v>6</v>
      </c>
      <c r="F14">
        <v>3</v>
      </c>
      <c r="G14">
        <v>33</v>
      </c>
      <c r="H14">
        <f t="shared" si="1"/>
        <v>34</v>
      </c>
      <c r="I14">
        <f t="shared" si="2"/>
        <v>11</v>
      </c>
      <c r="J14">
        <f t="shared" si="3"/>
        <v>5.666666666666667</v>
      </c>
      <c r="K14">
        <f>COUNTIF(B2:B60,"Payton Rose")</f>
        <v>7</v>
      </c>
      <c r="L14">
        <f>SUMIF(B2:B60,B14,C2:C60)</f>
        <v>110</v>
      </c>
      <c r="M14">
        <f t="shared" si="4"/>
        <v>15.714285714285714</v>
      </c>
      <c r="N14">
        <f>SUMIF(B2:B60, B14, G2:G60)</f>
        <v>825</v>
      </c>
      <c r="O14">
        <f t="shared" si="5"/>
        <v>117.85714285714286</v>
      </c>
      <c r="P14">
        <f t="shared" si="7"/>
        <v>935</v>
      </c>
      <c r="Q14">
        <f t="shared" si="6"/>
        <v>133.57142857142858</v>
      </c>
    </row>
    <row r="15" spans="1:17">
      <c r="A15" t="s">
        <v>27</v>
      </c>
      <c r="B15" t="s">
        <v>23</v>
      </c>
      <c r="C15">
        <v>0</v>
      </c>
      <c r="D15" s="1">
        <f t="shared" si="0"/>
        <v>0</v>
      </c>
      <c r="E15">
        <v>1</v>
      </c>
      <c r="F15">
        <v>1</v>
      </c>
      <c r="G15">
        <v>5</v>
      </c>
      <c r="H15">
        <f t="shared" si="1"/>
        <v>5</v>
      </c>
      <c r="I15">
        <f t="shared" si="2"/>
        <v>5</v>
      </c>
      <c r="J15">
        <f t="shared" si="3"/>
        <v>2.5</v>
      </c>
      <c r="K15">
        <f>COUNTIF(B2:B60,"Jalen Bethany")</f>
        <v>7</v>
      </c>
      <c r="L15">
        <f>SUMIF(B2:B60,B15,C2:C60)</f>
        <v>29</v>
      </c>
      <c r="M15">
        <f t="shared" si="4"/>
        <v>4.1428571428571432</v>
      </c>
      <c r="N15">
        <f>SUMIF(B2:B60, B15, G2:G60)</f>
        <v>145</v>
      </c>
      <c r="O15">
        <f t="shared" si="5"/>
        <v>20.714285714285715</v>
      </c>
      <c r="P15">
        <f t="shared" si="7"/>
        <v>174</v>
      </c>
      <c r="Q15">
        <f t="shared" si="6"/>
        <v>24.857142857142858</v>
      </c>
    </row>
    <row r="16" spans="1:17">
      <c r="A16" t="s">
        <v>27</v>
      </c>
      <c r="B16" t="s">
        <v>28</v>
      </c>
      <c r="C16">
        <v>0</v>
      </c>
      <c r="D16" s="1">
        <f t="shared" si="0"/>
        <v>0</v>
      </c>
      <c r="E16">
        <v>1</v>
      </c>
      <c r="F16">
        <v>1</v>
      </c>
      <c r="G16">
        <v>2</v>
      </c>
      <c r="H16">
        <f t="shared" si="1"/>
        <v>2</v>
      </c>
      <c r="I16">
        <f t="shared" si="2"/>
        <v>2</v>
      </c>
      <c r="J16">
        <f t="shared" si="3"/>
        <v>1</v>
      </c>
      <c r="K16">
        <f>COUNTIF(B2:B60,"Robert Giaimo")</f>
        <v>1</v>
      </c>
      <c r="L16">
        <f>SUMIF(B2:B60,B16,C2:C60)</f>
        <v>0</v>
      </c>
      <c r="M16">
        <f t="shared" si="4"/>
        <v>0</v>
      </c>
      <c r="N16">
        <f>SUMIF(B2:B60, B16, G2:G60)</f>
        <v>2</v>
      </c>
      <c r="O16">
        <f t="shared" si="5"/>
        <v>2</v>
      </c>
      <c r="P16">
        <f t="shared" si="7"/>
        <v>2</v>
      </c>
      <c r="Q16">
        <f t="shared" si="6"/>
        <v>2</v>
      </c>
    </row>
    <row r="17" spans="1:17">
      <c r="A17" t="s">
        <v>27</v>
      </c>
      <c r="B17" t="s">
        <v>20</v>
      </c>
      <c r="C17">
        <v>0</v>
      </c>
      <c r="D17" s="1">
        <f t="shared" si="0"/>
        <v>0</v>
      </c>
      <c r="E17">
        <v>1</v>
      </c>
      <c r="F17">
        <v>1</v>
      </c>
      <c r="G17">
        <v>0</v>
      </c>
      <c r="H17">
        <f t="shared" si="1"/>
        <v>0</v>
      </c>
      <c r="I17">
        <f t="shared" si="2"/>
        <v>0</v>
      </c>
      <c r="J17">
        <f t="shared" si="3"/>
        <v>0</v>
      </c>
      <c r="K17">
        <f>COUNTIF(B2:B60,"Jeff Caldwell")</f>
        <v>4</v>
      </c>
      <c r="L17">
        <f>SUMIF(B2:B60,B17,C2:C60)</f>
        <v>3</v>
      </c>
      <c r="M17">
        <f t="shared" si="4"/>
        <v>0.75</v>
      </c>
      <c r="N17">
        <f>SUMIF(B2:B60, B17, G2:G60)</f>
        <v>135</v>
      </c>
      <c r="O17">
        <f t="shared" si="5"/>
        <v>33.75</v>
      </c>
      <c r="P17">
        <f t="shared" si="7"/>
        <v>138</v>
      </c>
      <c r="Q17">
        <f t="shared" si="6"/>
        <v>34.5</v>
      </c>
    </row>
    <row r="18" spans="1:17">
      <c r="A18" t="s">
        <v>27</v>
      </c>
      <c r="B18" t="s">
        <v>29</v>
      </c>
      <c r="C18">
        <v>0</v>
      </c>
      <c r="D18" s="1">
        <f t="shared" si="0"/>
        <v>0</v>
      </c>
      <c r="E18">
        <v>1</v>
      </c>
      <c r="F18">
        <v>1</v>
      </c>
      <c r="G18">
        <v>0</v>
      </c>
      <c r="H18">
        <f t="shared" si="1"/>
        <v>0</v>
      </c>
      <c r="I18">
        <f t="shared" si="2"/>
        <v>0</v>
      </c>
      <c r="J18">
        <f t="shared" si="3"/>
        <v>0</v>
      </c>
      <c r="K18">
        <f>COUNTIF(B2:B60,"Darrin Fugitt")</f>
        <v>1</v>
      </c>
      <c r="L18">
        <f>SUMIF(B2:B60,B18,C2:C60)</f>
        <v>0</v>
      </c>
      <c r="M18">
        <f t="shared" si="4"/>
        <v>0</v>
      </c>
      <c r="N18">
        <f>SUMIF(B2:B60, B18, G2:G60)</f>
        <v>0</v>
      </c>
      <c r="O18">
        <f t="shared" si="5"/>
        <v>0</v>
      </c>
      <c r="P18">
        <f t="shared" si="7"/>
        <v>0</v>
      </c>
      <c r="Q18">
        <f t="shared" si="6"/>
        <v>0</v>
      </c>
    </row>
    <row r="19" spans="1:17">
      <c r="A19" t="s">
        <v>30</v>
      </c>
      <c r="B19" t="s">
        <v>18</v>
      </c>
      <c r="C19">
        <v>6</v>
      </c>
      <c r="D19" s="1">
        <f t="shared" si="0"/>
        <v>1</v>
      </c>
      <c r="E19">
        <v>12</v>
      </c>
      <c r="F19">
        <v>6</v>
      </c>
      <c r="G19">
        <v>67</v>
      </c>
      <c r="H19">
        <f t="shared" si="1"/>
        <v>73</v>
      </c>
      <c r="I19">
        <f t="shared" si="2"/>
        <v>11.166666666666666</v>
      </c>
      <c r="J19">
        <f t="shared" si="3"/>
        <v>6.083333333333333</v>
      </c>
      <c r="K19">
        <f>COUNTIF(B2:B60,"Payton Rose")</f>
        <v>7</v>
      </c>
      <c r="L19">
        <f>SUMIF(B2:B60,B19,C2:C60)</f>
        <v>110</v>
      </c>
      <c r="M19">
        <f t="shared" si="4"/>
        <v>15.714285714285714</v>
      </c>
      <c r="N19">
        <f>SUMIF(B2:B60, B19, G2:G60)</f>
        <v>825</v>
      </c>
      <c r="O19">
        <f t="shared" si="5"/>
        <v>117.85714285714286</v>
      </c>
      <c r="P19">
        <f t="shared" si="7"/>
        <v>935</v>
      </c>
      <c r="Q19">
        <f t="shared" si="6"/>
        <v>133.57142857142858</v>
      </c>
    </row>
    <row r="20" spans="1:17">
      <c r="A20" t="s">
        <v>30</v>
      </c>
      <c r="B20" t="s">
        <v>19</v>
      </c>
      <c r="C20">
        <v>11</v>
      </c>
      <c r="D20" s="1">
        <f t="shared" si="0"/>
        <v>2.2000000000000002</v>
      </c>
      <c r="E20">
        <v>6</v>
      </c>
      <c r="F20">
        <v>5</v>
      </c>
      <c r="G20">
        <v>79</v>
      </c>
      <c r="H20">
        <f t="shared" si="1"/>
        <v>90</v>
      </c>
      <c r="I20">
        <f t="shared" si="2"/>
        <v>15.8</v>
      </c>
      <c r="J20">
        <f t="shared" si="3"/>
        <v>9</v>
      </c>
      <c r="K20">
        <f>COUNTIF(B2:B60,"Kobe Smith")</f>
        <v>7</v>
      </c>
      <c r="L20">
        <f>SUMIF(B2:B60,B20,C2:C60)</f>
        <v>239</v>
      </c>
      <c r="M20">
        <f t="shared" si="4"/>
        <v>34.142857142857146</v>
      </c>
      <c r="N20">
        <f>SUMIF(B2:B60, B20, G2:G60)</f>
        <v>521</v>
      </c>
      <c r="O20">
        <f t="shared" si="5"/>
        <v>74.428571428571431</v>
      </c>
      <c r="P20">
        <f t="shared" si="7"/>
        <v>760</v>
      </c>
      <c r="Q20">
        <f t="shared" si="6"/>
        <v>108.57142857142857</v>
      </c>
    </row>
    <row r="21" spans="1:17">
      <c r="A21" t="s">
        <v>30</v>
      </c>
      <c r="B21" t="s">
        <v>24</v>
      </c>
      <c r="C21">
        <v>54</v>
      </c>
      <c r="D21" s="1">
        <f t="shared" si="0"/>
        <v>10.8</v>
      </c>
      <c r="E21">
        <v>6</v>
      </c>
      <c r="F21">
        <v>5</v>
      </c>
      <c r="G21">
        <v>60</v>
      </c>
      <c r="H21">
        <f t="shared" si="1"/>
        <v>114</v>
      </c>
      <c r="I21">
        <f t="shared" si="2"/>
        <v>12</v>
      </c>
      <c r="J21">
        <f t="shared" si="3"/>
        <v>11.4</v>
      </c>
      <c r="K21">
        <f>COUNTIF(B2:B60,"Andrew Martin")</f>
        <v>6</v>
      </c>
      <c r="L21">
        <f>SUMIF(B2:B60,B21,C2:C60)</f>
        <v>124</v>
      </c>
      <c r="M21">
        <f t="shared" si="4"/>
        <v>20.666666666666668</v>
      </c>
      <c r="N21">
        <f>SUMIF(B2:B60, B21, G2:G60)</f>
        <v>141</v>
      </c>
      <c r="O21">
        <f t="shared" si="5"/>
        <v>23.5</v>
      </c>
      <c r="P21">
        <f t="shared" si="7"/>
        <v>265</v>
      </c>
      <c r="Q21">
        <f t="shared" si="6"/>
        <v>44.166666666666664</v>
      </c>
    </row>
    <row r="22" spans="1:17">
      <c r="A22" t="s">
        <v>30</v>
      </c>
      <c r="B22" t="s">
        <v>22</v>
      </c>
      <c r="C22">
        <v>12</v>
      </c>
      <c r="D22" s="1">
        <f t="shared" si="0"/>
        <v>4</v>
      </c>
      <c r="E22">
        <v>4</v>
      </c>
      <c r="F22">
        <v>3</v>
      </c>
      <c r="G22">
        <v>22</v>
      </c>
      <c r="H22">
        <f t="shared" si="1"/>
        <v>34</v>
      </c>
      <c r="I22">
        <f t="shared" si="2"/>
        <v>7.333333333333333</v>
      </c>
      <c r="J22">
        <f t="shared" si="3"/>
        <v>5.6666666666666661</v>
      </c>
      <c r="K22">
        <f>COUNTIF(B2:B60,"Chase Lanckriet")</f>
        <v>6</v>
      </c>
      <c r="L22">
        <f>SUMIF(B2:B60,B22,C2:C60)</f>
        <v>83</v>
      </c>
      <c r="M22">
        <f t="shared" si="4"/>
        <v>13.833333333333334</v>
      </c>
      <c r="N22">
        <f>SUMIF(B2:B60, B22, G2:G60)</f>
        <v>231</v>
      </c>
      <c r="O22">
        <f t="shared" si="5"/>
        <v>38.5</v>
      </c>
      <c r="P22">
        <f t="shared" si="7"/>
        <v>314</v>
      </c>
      <c r="Q22">
        <f t="shared" si="6"/>
        <v>52.333333333333336</v>
      </c>
    </row>
    <row r="23" spans="1:17">
      <c r="A23" t="s">
        <v>30</v>
      </c>
      <c r="B23" t="s">
        <v>31</v>
      </c>
      <c r="C23">
        <v>6</v>
      </c>
      <c r="D23" s="1">
        <f t="shared" si="0"/>
        <v>2</v>
      </c>
      <c r="E23">
        <v>3</v>
      </c>
      <c r="F23">
        <v>3</v>
      </c>
      <c r="G23">
        <v>16</v>
      </c>
      <c r="H23">
        <f t="shared" si="1"/>
        <v>22</v>
      </c>
      <c r="I23">
        <f t="shared" si="2"/>
        <v>5.333333333333333</v>
      </c>
      <c r="J23">
        <f t="shared" si="3"/>
        <v>3.6666666666666665</v>
      </c>
      <c r="K23">
        <f>COUNTIF(B2:B60,"Abraham Haerr")</f>
        <v>3</v>
      </c>
      <c r="L23">
        <f>SUMIF(B2:B60,B23,C2:C60)</f>
        <v>6</v>
      </c>
      <c r="M23">
        <f t="shared" si="4"/>
        <v>2</v>
      </c>
      <c r="N23">
        <f>SUMIF(B2:B60, B23, G2:G60)</f>
        <v>16</v>
      </c>
      <c r="O23">
        <f t="shared" si="5"/>
        <v>5.333333333333333</v>
      </c>
      <c r="P23">
        <f t="shared" si="7"/>
        <v>22</v>
      </c>
      <c r="Q23">
        <f t="shared" si="6"/>
        <v>7.333333333333333</v>
      </c>
    </row>
    <row r="24" spans="1:17">
      <c r="A24" t="s">
        <v>30</v>
      </c>
      <c r="B24" t="s">
        <v>23</v>
      </c>
      <c r="C24">
        <v>0</v>
      </c>
      <c r="D24" s="1">
        <f t="shared" si="0"/>
        <v>0</v>
      </c>
      <c r="E24">
        <v>3</v>
      </c>
      <c r="F24">
        <v>2</v>
      </c>
      <c r="G24">
        <v>36</v>
      </c>
      <c r="H24">
        <f t="shared" si="1"/>
        <v>36</v>
      </c>
      <c r="I24">
        <f t="shared" si="2"/>
        <v>18</v>
      </c>
      <c r="J24">
        <f t="shared" si="3"/>
        <v>9</v>
      </c>
      <c r="K24">
        <f>COUNTIF(B2:B60,"Jalen Bethany")</f>
        <v>7</v>
      </c>
      <c r="L24">
        <f>SUMIF(B2:B60,B24,C2:C60)</f>
        <v>29</v>
      </c>
      <c r="M24">
        <f t="shared" si="4"/>
        <v>4.1428571428571432</v>
      </c>
      <c r="N24">
        <f>SUMIF(B2:B60, B24, G2:G60)</f>
        <v>145</v>
      </c>
      <c r="O24">
        <f t="shared" si="5"/>
        <v>20.714285714285715</v>
      </c>
      <c r="P24">
        <f t="shared" si="7"/>
        <v>174</v>
      </c>
      <c r="Q24">
        <f t="shared" si="6"/>
        <v>24.857142857142858</v>
      </c>
    </row>
    <row r="25" spans="1:17">
      <c r="A25" t="s">
        <v>30</v>
      </c>
      <c r="B25" t="s">
        <v>20</v>
      </c>
      <c r="C25">
        <v>0</v>
      </c>
      <c r="D25" s="1">
        <f t="shared" si="0"/>
        <v>0</v>
      </c>
      <c r="E25">
        <v>4</v>
      </c>
      <c r="F25">
        <v>2</v>
      </c>
      <c r="G25">
        <v>29</v>
      </c>
      <c r="H25">
        <f t="shared" si="1"/>
        <v>29</v>
      </c>
      <c r="I25">
        <f t="shared" si="2"/>
        <v>14.5</v>
      </c>
      <c r="J25">
        <f t="shared" si="3"/>
        <v>7.25</v>
      </c>
      <c r="K25">
        <f>COUNTIF(B2:B60,"Jeff Caldwell")</f>
        <v>4</v>
      </c>
      <c r="L25">
        <f>SUMIF(B2:B60,B25,C2:C60)</f>
        <v>3</v>
      </c>
      <c r="M25">
        <f t="shared" si="4"/>
        <v>0.75</v>
      </c>
      <c r="N25">
        <f>SUMIF(B2:B60, B25, G2:G60)</f>
        <v>135</v>
      </c>
      <c r="O25">
        <f t="shared" si="5"/>
        <v>33.75</v>
      </c>
      <c r="P25">
        <f t="shared" si="7"/>
        <v>138</v>
      </c>
      <c r="Q25">
        <f t="shared" si="6"/>
        <v>34.5</v>
      </c>
    </row>
    <row r="26" spans="1:17">
      <c r="A26" t="s">
        <v>30</v>
      </c>
      <c r="B26" t="s">
        <v>32</v>
      </c>
      <c r="C26">
        <v>25</v>
      </c>
      <c r="D26" s="1">
        <f t="shared" si="0"/>
        <v>25</v>
      </c>
      <c r="E26">
        <v>1</v>
      </c>
      <c r="F26">
        <v>1</v>
      </c>
      <c r="G26">
        <v>29</v>
      </c>
      <c r="H26">
        <f t="shared" si="1"/>
        <v>54</v>
      </c>
      <c r="I26">
        <f t="shared" si="2"/>
        <v>29</v>
      </c>
      <c r="J26">
        <f t="shared" si="3"/>
        <v>27</v>
      </c>
      <c r="K26">
        <f>COUNTIF(B2:B60,"Justin Williams")</f>
        <v>2</v>
      </c>
      <c r="L26">
        <f>SUMIF(B2:B60,B26,C2:C60)</f>
        <v>33</v>
      </c>
      <c r="M26">
        <f t="shared" si="4"/>
        <v>16.5</v>
      </c>
      <c r="N26">
        <f>SUMIF(B2:B60, B26, G2:G60)</f>
        <v>41</v>
      </c>
      <c r="O26">
        <f t="shared" si="5"/>
        <v>20.5</v>
      </c>
      <c r="P26">
        <f t="shared" si="7"/>
        <v>74</v>
      </c>
      <c r="Q26">
        <f t="shared" si="6"/>
        <v>37</v>
      </c>
    </row>
    <row r="27" spans="1:17">
      <c r="A27" t="s">
        <v>30</v>
      </c>
      <c r="B27" t="s">
        <v>21</v>
      </c>
      <c r="C27">
        <v>3</v>
      </c>
      <c r="D27" s="1">
        <f t="shared" si="0"/>
        <v>3</v>
      </c>
      <c r="E27">
        <v>3</v>
      </c>
      <c r="F27">
        <v>1</v>
      </c>
      <c r="G27">
        <v>8</v>
      </c>
      <c r="H27">
        <f t="shared" si="1"/>
        <v>11</v>
      </c>
      <c r="I27">
        <f t="shared" si="2"/>
        <v>8</v>
      </c>
      <c r="J27">
        <f t="shared" si="3"/>
        <v>5.5</v>
      </c>
      <c r="K27">
        <f>COUNTIF(B2:B60,"Spencer Redd")</f>
        <v>6</v>
      </c>
      <c r="L27">
        <f>SUMIF(B2:B60,B27,C2:C60)</f>
        <v>45</v>
      </c>
      <c r="M27">
        <f t="shared" si="4"/>
        <v>7.5</v>
      </c>
      <c r="N27">
        <f>SUMIF(B2:B60, B27, G2:G60)</f>
        <v>121</v>
      </c>
      <c r="O27">
        <f t="shared" si="5"/>
        <v>20.166666666666668</v>
      </c>
      <c r="P27">
        <f t="shared" si="7"/>
        <v>166</v>
      </c>
      <c r="Q27">
        <f t="shared" si="6"/>
        <v>27.666666666666668</v>
      </c>
    </row>
    <row r="28" spans="1:17">
      <c r="A28" t="s">
        <v>33</v>
      </c>
      <c r="B28" t="s">
        <v>22</v>
      </c>
      <c r="C28">
        <v>54</v>
      </c>
      <c r="D28" s="1">
        <f t="shared" si="0"/>
        <v>9</v>
      </c>
      <c r="E28">
        <v>9</v>
      </c>
      <c r="F28">
        <v>6</v>
      </c>
      <c r="G28">
        <v>119</v>
      </c>
      <c r="H28">
        <f t="shared" si="1"/>
        <v>173</v>
      </c>
      <c r="I28">
        <f t="shared" si="2"/>
        <v>19.833333333333332</v>
      </c>
      <c r="J28">
        <f t="shared" si="3"/>
        <v>14.416666666666666</v>
      </c>
      <c r="K28">
        <f>COUNTIF(B2:B60,"Chase Lanckriet")</f>
        <v>6</v>
      </c>
      <c r="L28">
        <f>SUMIF(B2:B60,B28,C2:C60)</f>
        <v>83</v>
      </c>
      <c r="M28">
        <f t="shared" si="4"/>
        <v>13.833333333333334</v>
      </c>
      <c r="N28">
        <f>SUMIF(B2:B60, B28, G2:G60)</f>
        <v>231</v>
      </c>
      <c r="O28">
        <f t="shared" si="5"/>
        <v>38.5</v>
      </c>
      <c r="P28">
        <f t="shared" si="7"/>
        <v>314</v>
      </c>
      <c r="Q28">
        <f t="shared" si="6"/>
        <v>52.333333333333336</v>
      </c>
    </row>
    <row r="29" spans="1:17">
      <c r="A29" t="s">
        <v>33</v>
      </c>
      <c r="B29" t="s">
        <v>19</v>
      </c>
      <c r="C29">
        <v>65</v>
      </c>
      <c r="D29" s="1">
        <f t="shared" si="0"/>
        <v>10.833333333333334</v>
      </c>
      <c r="E29">
        <v>8</v>
      </c>
      <c r="F29">
        <v>6</v>
      </c>
      <c r="G29">
        <v>94</v>
      </c>
      <c r="H29">
        <f t="shared" si="1"/>
        <v>159</v>
      </c>
      <c r="I29">
        <f t="shared" si="2"/>
        <v>15.666666666666666</v>
      </c>
      <c r="J29">
        <f t="shared" si="3"/>
        <v>13.25</v>
      </c>
      <c r="K29">
        <f>COUNTIF(B2:B60,"Kobe Smith")</f>
        <v>7</v>
      </c>
      <c r="L29">
        <f>SUMIF(B2:B60,B29,C2:C60)</f>
        <v>239</v>
      </c>
      <c r="M29">
        <f t="shared" si="4"/>
        <v>34.142857142857146</v>
      </c>
      <c r="N29">
        <f>SUMIF(B2:B60, B29, G2:G60)</f>
        <v>521</v>
      </c>
      <c r="O29">
        <f t="shared" si="5"/>
        <v>74.428571428571431</v>
      </c>
      <c r="P29">
        <f t="shared" si="7"/>
        <v>760</v>
      </c>
      <c r="Q29">
        <f t="shared" si="6"/>
        <v>108.57142857142857</v>
      </c>
    </row>
    <row r="30" spans="1:17">
      <c r="A30" t="s">
        <v>33</v>
      </c>
      <c r="B30" t="s">
        <v>18</v>
      </c>
      <c r="C30">
        <v>24</v>
      </c>
      <c r="D30" s="1">
        <f t="shared" si="0"/>
        <v>4.8</v>
      </c>
      <c r="E30">
        <v>9</v>
      </c>
      <c r="F30">
        <v>5</v>
      </c>
      <c r="G30">
        <v>103</v>
      </c>
      <c r="H30">
        <f t="shared" si="1"/>
        <v>127</v>
      </c>
      <c r="I30">
        <f t="shared" si="2"/>
        <v>20.6</v>
      </c>
      <c r="J30">
        <f t="shared" si="3"/>
        <v>12.700000000000001</v>
      </c>
      <c r="K30">
        <f>COUNTIF(B2:B60,"Payton Rose")</f>
        <v>7</v>
      </c>
      <c r="L30">
        <f>SUMIF(B2:B60,B30,C2:C60)</f>
        <v>110</v>
      </c>
      <c r="M30">
        <f t="shared" si="4"/>
        <v>15.714285714285714</v>
      </c>
      <c r="N30">
        <f>SUMIF(B2:B60, B30, G2:G60)</f>
        <v>825</v>
      </c>
      <c r="O30">
        <f t="shared" si="5"/>
        <v>117.85714285714286</v>
      </c>
      <c r="P30">
        <f t="shared" si="7"/>
        <v>935</v>
      </c>
      <c r="Q30">
        <f t="shared" si="6"/>
        <v>133.57142857142858</v>
      </c>
    </row>
    <row r="31" spans="1:17">
      <c r="A31" t="s">
        <v>33</v>
      </c>
      <c r="B31" t="s">
        <v>24</v>
      </c>
      <c r="C31">
        <v>13</v>
      </c>
      <c r="D31" s="1">
        <f t="shared" si="0"/>
        <v>3.25</v>
      </c>
      <c r="E31">
        <v>4</v>
      </c>
      <c r="F31">
        <v>4</v>
      </c>
      <c r="G31">
        <v>24</v>
      </c>
      <c r="H31">
        <f t="shared" si="1"/>
        <v>37</v>
      </c>
      <c r="I31">
        <f t="shared" si="2"/>
        <v>6</v>
      </c>
      <c r="J31">
        <f t="shared" si="3"/>
        <v>4.625</v>
      </c>
      <c r="K31">
        <f>COUNTIF(B2:B60,"Andrew Martin")</f>
        <v>6</v>
      </c>
      <c r="L31">
        <f>SUMIF(B2:B60,B31,C2:C60)</f>
        <v>124</v>
      </c>
      <c r="M31">
        <f t="shared" si="4"/>
        <v>20.666666666666668</v>
      </c>
      <c r="N31">
        <f>SUMIF(B2:B60, B31, G2:G60)</f>
        <v>141</v>
      </c>
      <c r="O31">
        <f t="shared" si="5"/>
        <v>23.5</v>
      </c>
      <c r="P31">
        <f t="shared" si="7"/>
        <v>265</v>
      </c>
      <c r="Q31">
        <f t="shared" si="6"/>
        <v>44.166666666666664</v>
      </c>
    </row>
    <row r="32" spans="1:17">
      <c r="A32" t="s">
        <v>33</v>
      </c>
      <c r="B32" t="s">
        <v>23</v>
      </c>
      <c r="C32">
        <v>6</v>
      </c>
      <c r="D32" s="1">
        <f t="shared" si="0"/>
        <v>3</v>
      </c>
      <c r="E32">
        <v>3</v>
      </c>
      <c r="F32">
        <v>2</v>
      </c>
      <c r="G32">
        <v>25</v>
      </c>
      <c r="H32">
        <f t="shared" si="1"/>
        <v>31</v>
      </c>
      <c r="I32">
        <f t="shared" si="2"/>
        <v>12.5</v>
      </c>
      <c r="J32">
        <f t="shared" si="3"/>
        <v>7.75</v>
      </c>
      <c r="K32">
        <f>COUNTIF(B2:B60,"Jalen Bethany")</f>
        <v>7</v>
      </c>
      <c r="L32">
        <f>SUMIF(B2:B60,B32,C2:C60)</f>
        <v>29</v>
      </c>
      <c r="M32">
        <f t="shared" si="4"/>
        <v>4.1428571428571432</v>
      </c>
      <c r="N32">
        <f>SUMIF(B2:B60, B32, G2:G60)</f>
        <v>145</v>
      </c>
      <c r="O32">
        <f t="shared" si="5"/>
        <v>20.714285714285715</v>
      </c>
      <c r="P32">
        <f t="shared" si="7"/>
        <v>174</v>
      </c>
      <c r="Q32">
        <f t="shared" si="6"/>
        <v>24.857142857142858</v>
      </c>
    </row>
    <row r="33" spans="1:17">
      <c r="A33" t="s">
        <v>33</v>
      </c>
      <c r="B33" t="s">
        <v>21</v>
      </c>
      <c r="C33">
        <v>5</v>
      </c>
      <c r="D33" s="1">
        <f t="shared" si="0"/>
        <v>5</v>
      </c>
      <c r="E33">
        <v>1</v>
      </c>
      <c r="F33">
        <v>1</v>
      </c>
      <c r="G33">
        <v>21</v>
      </c>
      <c r="H33">
        <f t="shared" si="1"/>
        <v>26</v>
      </c>
      <c r="I33">
        <f t="shared" si="2"/>
        <v>21</v>
      </c>
      <c r="J33">
        <f t="shared" si="3"/>
        <v>13</v>
      </c>
      <c r="K33">
        <f>COUNTIF(B2:B60,"Spencer Redd")</f>
        <v>6</v>
      </c>
      <c r="L33">
        <f>SUMIF(B2:B60,B33,C2:C60)</f>
        <v>45</v>
      </c>
      <c r="M33">
        <f t="shared" si="4"/>
        <v>7.5</v>
      </c>
      <c r="N33">
        <f>SUMIF(B2:B60, B33, G2:G60)</f>
        <v>121</v>
      </c>
      <c r="O33">
        <f t="shared" si="5"/>
        <v>20.166666666666668</v>
      </c>
      <c r="P33">
        <f t="shared" si="7"/>
        <v>166</v>
      </c>
      <c r="Q33">
        <f t="shared" si="6"/>
        <v>27.666666666666668</v>
      </c>
    </row>
    <row r="34" spans="1:17">
      <c r="A34" t="s">
        <v>33</v>
      </c>
      <c r="B34" t="s">
        <v>25</v>
      </c>
      <c r="C34">
        <v>6</v>
      </c>
      <c r="D34" s="1">
        <f t="shared" si="0"/>
        <v>6</v>
      </c>
      <c r="E34">
        <v>1</v>
      </c>
      <c r="F34">
        <v>1</v>
      </c>
      <c r="G34">
        <v>15</v>
      </c>
      <c r="H34">
        <f t="shared" si="1"/>
        <v>21</v>
      </c>
      <c r="I34">
        <f t="shared" si="2"/>
        <v>15</v>
      </c>
      <c r="J34">
        <f t="shared" si="3"/>
        <v>10.5</v>
      </c>
      <c r="K34">
        <f>COUNTIF(B2:B60,"Dom McManus")</f>
        <v>3</v>
      </c>
      <c r="L34">
        <f>SUMIF(B2:B60,B34,C2:C60)</f>
        <v>6</v>
      </c>
      <c r="M34">
        <f t="shared" si="4"/>
        <v>2</v>
      </c>
      <c r="N34">
        <f>SUMIF(B2:B60, B34, G2:G60)</f>
        <v>20</v>
      </c>
      <c r="O34">
        <f t="shared" si="5"/>
        <v>6.666666666666667</v>
      </c>
      <c r="P34">
        <f t="shared" si="7"/>
        <v>26</v>
      </c>
      <c r="Q34">
        <f t="shared" si="6"/>
        <v>8.6666666666666661</v>
      </c>
    </row>
    <row r="35" spans="1:17">
      <c r="A35" t="s">
        <v>33</v>
      </c>
      <c r="B35" t="s">
        <v>32</v>
      </c>
      <c r="C35">
        <v>8</v>
      </c>
      <c r="D35" s="1">
        <f t="shared" si="0"/>
        <v>8</v>
      </c>
      <c r="E35">
        <v>1</v>
      </c>
      <c r="F35">
        <v>1</v>
      </c>
      <c r="G35">
        <v>12</v>
      </c>
      <c r="H35">
        <f t="shared" si="1"/>
        <v>20</v>
      </c>
      <c r="I35">
        <f t="shared" si="2"/>
        <v>12</v>
      </c>
      <c r="J35">
        <f t="shared" si="3"/>
        <v>10</v>
      </c>
      <c r="K35">
        <f>COUNTIF(B2:B60,"Justin Williams")</f>
        <v>2</v>
      </c>
      <c r="L35">
        <f>SUMIF(B2:B60,B35,C2:C60)</f>
        <v>33</v>
      </c>
      <c r="M35">
        <f t="shared" si="4"/>
        <v>16.5</v>
      </c>
      <c r="N35">
        <f>SUMIF(B2:B60, B35, G2:G60)</f>
        <v>41</v>
      </c>
      <c r="O35">
        <f t="shared" si="5"/>
        <v>20.5</v>
      </c>
      <c r="P35">
        <f t="shared" si="7"/>
        <v>74</v>
      </c>
      <c r="Q35">
        <f t="shared" si="6"/>
        <v>37</v>
      </c>
    </row>
    <row r="36" spans="1:17">
      <c r="A36" t="s">
        <v>33</v>
      </c>
      <c r="B36" t="s">
        <v>31</v>
      </c>
      <c r="C36">
        <v>0</v>
      </c>
      <c r="D36" s="1">
        <v>0</v>
      </c>
      <c r="E36">
        <v>3</v>
      </c>
      <c r="F36">
        <v>0</v>
      </c>
      <c r="G36">
        <v>0</v>
      </c>
      <c r="H36">
        <f t="shared" si="1"/>
        <v>0</v>
      </c>
      <c r="I36">
        <v>0</v>
      </c>
      <c r="J36">
        <f t="shared" si="3"/>
        <v>0</v>
      </c>
      <c r="K36">
        <f>COUNTIF(B2:B60,"Abraham Haerr")</f>
        <v>3</v>
      </c>
      <c r="L36">
        <f>SUMIF(B2:B60,B36,C2:C60)</f>
        <v>6</v>
      </c>
      <c r="M36">
        <f t="shared" si="4"/>
        <v>2</v>
      </c>
      <c r="N36">
        <f>SUMIF(B2:B60, B36, G2:G60)</f>
        <v>16</v>
      </c>
      <c r="O36">
        <f t="shared" si="5"/>
        <v>5.333333333333333</v>
      </c>
      <c r="P36">
        <f t="shared" si="7"/>
        <v>22</v>
      </c>
      <c r="Q36">
        <f t="shared" si="6"/>
        <v>7.333333333333333</v>
      </c>
    </row>
    <row r="37" spans="1:17">
      <c r="A37" t="s">
        <v>34</v>
      </c>
      <c r="B37" t="s">
        <v>19</v>
      </c>
      <c r="C37">
        <v>31</v>
      </c>
      <c r="D37" s="1">
        <f>C37/F37</f>
        <v>6.2</v>
      </c>
      <c r="E37">
        <v>11</v>
      </c>
      <c r="F37">
        <v>5</v>
      </c>
      <c r="G37">
        <v>65</v>
      </c>
      <c r="H37">
        <f t="shared" si="1"/>
        <v>96</v>
      </c>
      <c r="I37">
        <f>G37/F37</f>
        <v>13</v>
      </c>
      <c r="J37">
        <f t="shared" si="3"/>
        <v>9.6</v>
      </c>
      <c r="K37">
        <f>COUNTIF(B2:B60,"Kobe Smith")</f>
        <v>7</v>
      </c>
      <c r="L37">
        <f>SUMIF(B2:B60,B37,C2:C60)</f>
        <v>239</v>
      </c>
      <c r="M37">
        <f t="shared" si="4"/>
        <v>34.142857142857146</v>
      </c>
      <c r="N37">
        <f>SUMIF(B2:B60, B37, G2:G60)</f>
        <v>521</v>
      </c>
      <c r="O37">
        <f t="shared" si="5"/>
        <v>74.428571428571431</v>
      </c>
      <c r="P37">
        <f t="shared" si="7"/>
        <v>760</v>
      </c>
      <c r="Q37">
        <f t="shared" si="6"/>
        <v>108.57142857142857</v>
      </c>
    </row>
    <row r="38" spans="1:17">
      <c r="A38" t="s">
        <v>34</v>
      </c>
      <c r="B38" t="s">
        <v>18</v>
      </c>
      <c r="C38">
        <v>24</v>
      </c>
      <c r="D38" s="1">
        <f t="shared" ref="D38:D60" si="8">C38/F38</f>
        <v>8</v>
      </c>
      <c r="E38">
        <v>6</v>
      </c>
      <c r="F38">
        <v>3</v>
      </c>
      <c r="G38">
        <v>111</v>
      </c>
      <c r="H38">
        <f t="shared" si="1"/>
        <v>135</v>
      </c>
      <c r="I38">
        <f t="shared" ref="I38:I60" si="9">G38/F38</f>
        <v>37</v>
      </c>
      <c r="J38">
        <f t="shared" si="3"/>
        <v>22.5</v>
      </c>
      <c r="K38">
        <f>COUNTIF(B2:B60,"Payton Rose")</f>
        <v>7</v>
      </c>
      <c r="L38">
        <f>SUMIF(B2:B60,B38,C2:C60)</f>
        <v>110</v>
      </c>
      <c r="M38">
        <f t="shared" si="4"/>
        <v>15.714285714285714</v>
      </c>
      <c r="N38">
        <f>SUMIF(B2:B60, B38, G2:G60)</f>
        <v>825</v>
      </c>
      <c r="O38">
        <f t="shared" si="5"/>
        <v>117.85714285714286</v>
      </c>
      <c r="P38">
        <f t="shared" si="7"/>
        <v>935</v>
      </c>
      <c r="Q38">
        <f t="shared" si="6"/>
        <v>133.57142857142858</v>
      </c>
    </row>
    <row r="39" spans="1:17">
      <c r="A39" t="s">
        <v>34</v>
      </c>
      <c r="B39" t="s">
        <v>23</v>
      </c>
      <c r="C39">
        <v>7</v>
      </c>
      <c r="D39" s="1">
        <f t="shared" si="8"/>
        <v>2.3333333333333335</v>
      </c>
      <c r="E39">
        <v>3</v>
      </c>
      <c r="F39">
        <v>3</v>
      </c>
      <c r="G39">
        <v>31</v>
      </c>
      <c r="H39">
        <f t="shared" si="1"/>
        <v>38</v>
      </c>
      <c r="I39">
        <f t="shared" si="9"/>
        <v>10.333333333333334</v>
      </c>
      <c r="J39">
        <f t="shared" si="3"/>
        <v>6.3333333333333339</v>
      </c>
      <c r="K39">
        <f>COUNTIF(B2:B60,"Jalen Bethany")</f>
        <v>7</v>
      </c>
      <c r="L39">
        <f>SUMIF(B2:B60,B39,C2:C60)</f>
        <v>29</v>
      </c>
      <c r="M39">
        <f t="shared" si="4"/>
        <v>4.1428571428571432</v>
      </c>
      <c r="N39">
        <f>SUMIF(B2:B60, B39, G2:G60)</f>
        <v>145</v>
      </c>
      <c r="O39">
        <f t="shared" si="5"/>
        <v>20.714285714285715</v>
      </c>
      <c r="P39">
        <f t="shared" si="7"/>
        <v>174</v>
      </c>
      <c r="Q39">
        <f t="shared" si="6"/>
        <v>24.857142857142858</v>
      </c>
    </row>
    <row r="40" spans="1:17">
      <c r="A40" t="s">
        <v>34</v>
      </c>
      <c r="B40" t="s">
        <v>22</v>
      </c>
      <c r="C40">
        <v>1</v>
      </c>
      <c r="D40" s="1">
        <f t="shared" si="8"/>
        <v>0.5</v>
      </c>
      <c r="E40">
        <v>2</v>
      </c>
      <c r="F40">
        <v>2</v>
      </c>
      <c r="G40">
        <v>16</v>
      </c>
      <c r="H40">
        <f t="shared" si="1"/>
        <v>17</v>
      </c>
      <c r="I40">
        <f t="shared" si="9"/>
        <v>8</v>
      </c>
      <c r="J40">
        <f t="shared" si="3"/>
        <v>4.25</v>
      </c>
      <c r="K40">
        <f>COUNTIF(B2:B60,"Chase Lanckriet")</f>
        <v>6</v>
      </c>
      <c r="L40">
        <f>SUMIF(B2:B60,B40,C2:C60)</f>
        <v>83</v>
      </c>
      <c r="M40">
        <f t="shared" si="4"/>
        <v>13.833333333333334</v>
      </c>
      <c r="N40">
        <f>SUMIF(B2:B60, B40, G2:G60)</f>
        <v>231</v>
      </c>
      <c r="O40">
        <f t="shared" si="5"/>
        <v>38.5</v>
      </c>
      <c r="P40">
        <f t="shared" si="7"/>
        <v>314</v>
      </c>
      <c r="Q40">
        <f t="shared" si="6"/>
        <v>52.333333333333336</v>
      </c>
    </row>
    <row r="41" spans="1:17">
      <c r="A41" t="s">
        <v>34</v>
      </c>
      <c r="B41" t="s">
        <v>24</v>
      </c>
      <c r="C41">
        <v>23</v>
      </c>
      <c r="D41" s="1">
        <f t="shared" si="8"/>
        <v>11.5</v>
      </c>
      <c r="E41">
        <v>2</v>
      </c>
      <c r="F41">
        <v>2</v>
      </c>
      <c r="G41">
        <v>13</v>
      </c>
      <c r="H41">
        <f t="shared" si="1"/>
        <v>36</v>
      </c>
      <c r="I41">
        <f t="shared" si="9"/>
        <v>6.5</v>
      </c>
      <c r="J41">
        <f t="shared" si="3"/>
        <v>9</v>
      </c>
      <c r="K41">
        <f>COUNTIF(B2:B60,"Andrew Martin")</f>
        <v>6</v>
      </c>
      <c r="L41">
        <f>SUMIF(B2:B60,B41,C2:C60)</f>
        <v>124</v>
      </c>
      <c r="M41">
        <f t="shared" si="4"/>
        <v>20.666666666666668</v>
      </c>
      <c r="N41">
        <f>SUMIF(B2:B60, B41, G2:G60)</f>
        <v>141</v>
      </c>
      <c r="O41">
        <f t="shared" si="5"/>
        <v>23.5</v>
      </c>
      <c r="P41">
        <f t="shared" si="7"/>
        <v>265</v>
      </c>
      <c r="Q41">
        <f t="shared" si="6"/>
        <v>44.166666666666664</v>
      </c>
    </row>
    <row r="42" spans="1:17">
      <c r="A42" t="s">
        <v>34</v>
      </c>
      <c r="B42" t="s">
        <v>21</v>
      </c>
      <c r="C42">
        <v>2</v>
      </c>
      <c r="D42" s="1">
        <f t="shared" si="8"/>
        <v>2</v>
      </c>
      <c r="E42">
        <v>2</v>
      </c>
      <c r="F42">
        <v>1</v>
      </c>
      <c r="G42">
        <v>6</v>
      </c>
      <c r="H42">
        <f t="shared" si="1"/>
        <v>8</v>
      </c>
      <c r="I42">
        <f t="shared" si="9"/>
        <v>6</v>
      </c>
      <c r="J42">
        <f t="shared" si="3"/>
        <v>4</v>
      </c>
      <c r="K42">
        <f>COUNTIF(B2:B60,"Spencer Redd")</f>
        <v>6</v>
      </c>
      <c r="L42">
        <f>SUMIF(B2:B60,B42,C2:C60)</f>
        <v>45</v>
      </c>
      <c r="M42">
        <f t="shared" si="4"/>
        <v>7.5</v>
      </c>
      <c r="N42">
        <f>SUMIF(B2:B60, B42, G2:G60)</f>
        <v>121</v>
      </c>
      <c r="O42">
        <f t="shared" si="5"/>
        <v>20.166666666666668</v>
      </c>
      <c r="P42">
        <f t="shared" si="7"/>
        <v>166</v>
      </c>
      <c r="Q42">
        <f t="shared" si="6"/>
        <v>27.666666666666668</v>
      </c>
    </row>
    <row r="43" spans="1:17">
      <c r="A43" t="s">
        <v>34</v>
      </c>
      <c r="B43" t="s">
        <v>35</v>
      </c>
      <c r="C43">
        <v>0</v>
      </c>
      <c r="D43" s="1">
        <v>0</v>
      </c>
      <c r="E43">
        <v>0</v>
      </c>
      <c r="F43">
        <v>0</v>
      </c>
      <c r="G43">
        <v>0</v>
      </c>
      <c r="H43">
        <f t="shared" si="1"/>
        <v>0</v>
      </c>
      <c r="I43">
        <v>0</v>
      </c>
      <c r="J43">
        <f t="shared" si="3"/>
        <v>0</v>
      </c>
      <c r="K43">
        <f>COUNTIF(B2:B60,"Connor Mazzotta")</f>
        <v>1</v>
      </c>
      <c r="L43">
        <f>SUMIF(B2:B60,B43,C2:C60)</f>
        <v>0</v>
      </c>
      <c r="M43">
        <f t="shared" si="4"/>
        <v>0</v>
      </c>
      <c r="N43">
        <f>SUMIF(B2:B60, B43, G2:G60)</f>
        <v>0</v>
      </c>
      <c r="O43">
        <f t="shared" si="5"/>
        <v>0</v>
      </c>
      <c r="P43">
        <f t="shared" si="7"/>
        <v>0</v>
      </c>
      <c r="Q43">
        <f t="shared" si="6"/>
        <v>0</v>
      </c>
    </row>
    <row r="44" spans="1:17">
      <c r="A44" t="s">
        <v>36</v>
      </c>
      <c r="B44" t="s">
        <v>18</v>
      </c>
      <c r="C44">
        <v>9</v>
      </c>
      <c r="D44" s="1">
        <f t="shared" si="8"/>
        <v>1</v>
      </c>
      <c r="E44">
        <v>11</v>
      </c>
      <c r="F44">
        <v>9</v>
      </c>
      <c r="G44">
        <v>200</v>
      </c>
      <c r="H44">
        <f t="shared" si="1"/>
        <v>209</v>
      </c>
      <c r="I44">
        <f t="shared" si="9"/>
        <v>22.222222222222221</v>
      </c>
      <c r="J44">
        <f t="shared" si="3"/>
        <v>11.611111111111111</v>
      </c>
      <c r="K44">
        <f>COUNTIF(B2:B60,"Payton Rose")</f>
        <v>7</v>
      </c>
      <c r="L44">
        <f>SUMIF(B2:B60,B44,C2:C60)</f>
        <v>110</v>
      </c>
      <c r="M44">
        <f t="shared" si="4"/>
        <v>15.714285714285714</v>
      </c>
      <c r="N44">
        <f>SUMIF(B2:B60, B44, G2:G60)</f>
        <v>825</v>
      </c>
      <c r="O44">
        <f t="shared" si="5"/>
        <v>117.85714285714286</v>
      </c>
      <c r="P44">
        <f t="shared" si="7"/>
        <v>935</v>
      </c>
      <c r="Q44">
        <f t="shared" si="6"/>
        <v>133.57142857142858</v>
      </c>
    </row>
    <row r="45" spans="1:17">
      <c r="A45" t="s">
        <v>36</v>
      </c>
      <c r="B45" t="s">
        <v>20</v>
      </c>
      <c r="C45">
        <v>3</v>
      </c>
      <c r="D45" s="1">
        <f t="shared" si="8"/>
        <v>1</v>
      </c>
      <c r="E45">
        <v>3</v>
      </c>
      <c r="F45">
        <v>3</v>
      </c>
      <c r="G45">
        <v>74</v>
      </c>
      <c r="H45">
        <f t="shared" si="1"/>
        <v>77</v>
      </c>
      <c r="I45">
        <f t="shared" si="9"/>
        <v>24.666666666666668</v>
      </c>
      <c r="J45">
        <f t="shared" ref="J45:J60" si="10">(D45+I45)/2</f>
        <v>12.833333333333334</v>
      </c>
      <c r="K45">
        <f>COUNTIF(B2:B60,"Jeff Caldwell")</f>
        <v>4</v>
      </c>
      <c r="L45">
        <f>SUMIF(B2:B60,B45,C2:C60)</f>
        <v>3</v>
      </c>
      <c r="M45">
        <f t="shared" si="4"/>
        <v>0.75</v>
      </c>
      <c r="N45">
        <f>SUMIF(B2:B60, B45, G2:G60)</f>
        <v>135</v>
      </c>
      <c r="O45">
        <f t="shared" si="5"/>
        <v>33.75</v>
      </c>
      <c r="P45">
        <f t="shared" si="7"/>
        <v>138</v>
      </c>
      <c r="Q45">
        <f t="shared" si="6"/>
        <v>34.5</v>
      </c>
    </row>
    <row r="46" spans="1:17">
      <c r="A46" t="s">
        <v>36</v>
      </c>
      <c r="B46" t="s">
        <v>19</v>
      </c>
      <c r="C46">
        <v>32</v>
      </c>
      <c r="D46" s="1">
        <f t="shared" si="8"/>
        <v>10.666666666666666</v>
      </c>
      <c r="E46">
        <v>10</v>
      </c>
      <c r="F46">
        <v>3</v>
      </c>
      <c r="G46">
        <v>63</v>
      </c>
      <c r="H46">
        <f t="shared" si="1"/>
        <v>95</v>
      </c>
      <c r="I46">
        <f t="shared" si="9"/>
        <v>21</v>
      </c>
      <c r="J46">
        <f t="shared" si="10"/>
        <v>15.833333333333332</v>
      </c>
      <c r="K46">
        <f>COUNTIF(B2:B60,"Kobe Smith")</f>
        <v>7</v>
      </c>
      <c r="L46">
        <f>SUMIF(B2:B60,B46,C2:C60)</f>
        <v>239</v>
      </c>
      <c r="M46">
        <f t="shared" si="4"/>
        <v>34.142857142857146</v>
      </c>
      <c r="N46">
        <f>SUMIF(B2:B60, B46, G2:G60)</f>
        <v>521</v>
      </c>
      <c r="O46">
        <f t="shared" si="5"/>
        <v>74.428571428571431</v>
      </c>
      <c r="P46">
        <f t="shared" si="7"/>
        <v>760</v>
      </c>
      <c r="Q46">
        <f t="shared" si="6"/>
        <v>108.57142857142857</v>
      </c>
    </row>
    <row r="47" spans="1:17">
      <c r="A47" t="s">
        <v>36</v>
      </c>
      <c r="B47" t="s">
        <v>37</v>
      </c>
      <c r="C47">
        <v>12</v>
      </c>
      <c r="D47" s="1">
        <f t="shared" si="8"/>
        <v>4</v>
      </c>
      <c r="E47">
        <v>3</v>
      </c>
      <c r="F47">
        <v>3</v>
      </c>
      <c r="G47">
        <v>26</v>
      </c>
      <c r="H47">
        <f t="shared" si="1"/>
        <v>38</v>
      </c>
      <c r="I47">
        <f t="shared" si="9"/>
        <v>8.6666666666666661</v>
      </c>
      <c r="J47">
        <f t="shared" si="10"/>
        <v>6.333333333333333</v>
      </c>
      <c r="K47">
        <f>COUNTIF(B2:B60,"Jared Rhodes")</f>
        <v>1</v>
      </c>
      <c r="L47">
        <f>SUMIF(B2:B60,B47,C2:C60)</f>
        <v>12</v>
      </c>
      <c r="M47">
        <f t="shared" si="4"/>
        <v>12</v>
      </c>
      <c r="N47">
        <f>SUMIF(B2:B60, B47, G2:G60)</f>
        <v>26</v>
      </c>
      <c r="O47">
        <f t="shared" si="5"/>
        <v>26</v>
      </c>
      <c r="P47">
        <f t="shared" si="7"/>
        <v>38</v>
      </c>
      <c r="Q47">
        <f t="shared" si="6"/>
        <v>38</v>
      </c>
    </row>
    <row r="48" spans="1:17">
      <c r="A48" t="s">
        <v>36</v>
      </c>
      <c r="B48" t="s">
        <v>24</v>
      </c>
      <c r="C48">
        <v>12</v>
      </c>
      <c r="D48" s="1">
        <f t="shared" si="8"/>
        <v>4</v>
      </c>
      <c r="E48">
        <v>3</v>
      </c>
      <c r="F48">
        <v>3</v>
      </c>
      <c r="G48">
        <v>24</v>
      </c>
      <c r="H48">
        <f t="shared" si="1"/>
        <v>36</v>
      </c>
      <c r="I48">
        <f t="shared" si="9"/>
        <v>8</v>
      </c>
      <c r="J48">
        <f t="shared" si="10"/>
        <v>6</v>
      </c>
      <c r="K48">
        <f>COUNTIF(B2:B60,"Andrew Martin")</f>
        <v>6</v>
      </c>
      <c r="L48">
        <f>SUMIF(B2:B60,B48,C2:C60)</f>
        <v>124</v>
      </c>
      <c r="M48">
        <f t="shared" si="4"/>
        <v>20.666666666666668</v>
      </c>
      <c r="N48">
        <f>SUMIF(B2:B60, B48, G2:G60)</f>
        <v>141</v>
      </c>
      <c r="O48">
        <f t="shared" si="5"/>
        <v>23.5</v>
      </c>
      <c r="P48">
        <f t="shared" si="7"/>
        <v>265</v>
      </c>
      <c r="Q48">
        <f t="shared" si="6"/>
        <v>44.166666666666664</v>
      </c>
    </row>
    <row r="49" spans="1:17">
      <c r="A49" t="s">
        <v>36</v>
      </c>
      <c r="B49" t="s">
        <v>23</v>
      </c>
      <c r="C49">
        <v>6</v>
      </c>
      <c r="D49" s="1">
        <f t="shared" si="8"/>
        <v>3</v>
      </c>
      <c r="E49">
        <v>2</v>
      </c>
      <c r="F49">
        <v>2</v>
      </c>
      <c r="G49">
        <v>10</v>
      </c>
      <c r="H49">
        <f t="shared" si="1"/>
        <v>16</v>
      </c>
      <c r="I49">
        <f t="shared" si="9"/>
        <v>5</v>
      </c>
      <c r="J49">
        <f t="shared" si="10"/>
        <v>4</v>
      </c>
      <c r="K49">
        <f>COUNTIF(B2:B60,"Jalen Bethany")</f>
        <v>7</v>
      </c>
      <c r="L49">
        <f>SUMIF(B2:B60,B49,C2:C60)</f>
        <v>29</v>
      </c>
      <c r="M49">
        <f t="shared" si="4"/>
        <v>4.1428571428571432</v>
      </c>
      <c r="N49">
        <f>SUMIF(B2:B60, B49, G2:G60)</f>
        <v>145</v>
      </c>
      <c r="O49">
        <f t="shared" si="5"/>
        <v>20.714285714285715</v>
      </c>
      <c r="P49">
        <f t="shared" si="7"/>
        <v>174</v>
      </c>
      <c r="Q49">
        <f t="shared" si="6"/>
        <v>24.857142857142858</v>
      </c>
    </row>
    <row r="50" spans="1:17">
      <c r="A50" t="s">
        <v>36</v>
      </c>
      <c r="B50" t="s">
        <v>38</v>
      </c>
      <c r="C50">
        <v>0</v>
      </c>
      <c r="D50" s="1">
        <f t="shared" si="8"/>
        <v>0</v>
      </c>
      <c r="E50">
        <v>1</v>
      </c>
      <c r="F50">
        <v>1</v>
      </c>
      <c r="G50">
        <v>29</v>
      </c>
      <c r="H50">
        <f t="shared" si="1"/>
        <v>29</v>
      </c>
      <c r="I50">
        <f t="shared" si="9"/>
        <v>29</v>
      </c>
      <c r="J50">
        <f t="shared" si="10"/>
        <v>14.5</v>
      </c>
      <c r="K50">
        <f>COUNTIF(B2:B60,"Drew Krobath")</f>
        <v>1</v>
      </c>
      <c r="L50">
        <f>SUMIF(B2:B60,B50,C2:C60)</f>
        <v>0</v>
      </c>
      <c r="M50">
        <f t="shared" si="4"/>
        <v>0</v>
      </c>
      <c r="N50">
        <f>SUMIF(B2:B60, B50, G2:G60)</f>
        <v>29</v>
      </c>
      <c r="O50">
        <f t="shared" si="5"/>
        <v>29</v>
      </c>
      <c r="P50">
        <f t="shared" si="7"/>
        <v>29</v>
      </c>
      <c r="Q50">
        <f t="shared" si="6"/>
        <v>29</v>
      </c>
    </row>
    <row r="51" spans="1:17">
      <c r="A51" t="s">
        <v>36</v>
      </c>
      <c r="B51" t="s">
        <v>21</v>
      </c>
      <c r="C51">
        <v>3</v>
      </c>
      <c r="D51" s="1">
        <f t="shared" si="8"/>
        <v>3</v>
      </c>
      <c r="E51">
        <v>1</v>
      </c>
      <c r="F51">
        <v>1</v>
      </c>
      <c r="G51">
        <v>14</v>
      </c>
      <c r="H51">
        <f t="shared" si="1"/>
        <v>17</v>
      </c>
      <c r="I51">
        <f t="shared" si="9"/>
        <v>14</v>
      </c>
      <c r="J51">
        <f t="shared" si="10"/>
        <v>8.5</v>
      </c>
      <c r="K51">
        <f>COUNTIF(B2:B60,"Spencer Redd")</f>
        <v>6</v>
      </c>
      <c r="L51">
        <f>SUMIF(B2:B60,B51,C2:C60)</f>
        <v>45</v>
      </c>
      <c r="M51">
        <f t="shared" si="4"/>
        <v>7.5</v>
      </c>
      <c r="N51">
        <f>SUMIF(B2:B60, B51, G2:G60)</f>
        <v>121</v>
      </c>
      <c r="O51">
        <f t="shared" si="5"/>
        <v>20.166666666666668</v>
      </c>
      <c r="P51">
        <f t="shared" si="7"/>
        <v>166</v>
      </c>
      <c r="Q51">
        <f t="shared" si="6"/>
        <v>27.666666666666668</v>
      </c>
    </row>
    <row r="52" spans="1:17">
      <c r="A52" t="s">
        <v>36</v>
      </c>
      <c r="B52" t="s">
        <v>22</v>
      </c>
      <c r="C52">
        <v>0</v>
      </c>
      <c r="D52" s="1">
        <f t="shared" si="8"/>
        <v>0</v>
      </c>
      <c r="E52">
        <v>1</v>
      </c>
      <c r="F52">
        <v>1</v>
      </c>
      <c r="G52">
        <v>5</v>
      </c>
      <c r="H52">
        <f t="shared" si="1"/>
        <v>5</v>
      </c>
      <c r="I52">
        <f t="shared" si="9"/>
        <v>5</v>
      </c>
      <c r="J52">
        <f t="shared" si="10"/>
        <v>2.5</v>
      </c>
      <c r="K52">
        <f>COUNTIF(B2:B60,"Chase Lanckriet")</f>
        <v>6</v>
      </c>
      <c r="L52">
        <f>SUMIF(B2:B60,B52,C2:C60)</f>
        <v>83</v>
      </c>
      <c r="M52">
        <f t="shared" si="4"/>
        <v>13.833333333333334</v>
      </c>
      <c r="N52">
        <f>SUMIF(B2:B60, B52, G2:G60)</f>
        <v>231</v>
      </c>
      <c r="O52">
        <f t="shared" si="5"/>
        <v>38.5</v>
      </c>
      <c r="P52">
        <f t="shared" si="7"/>
        <v>314</v>
      </c>
      <c r="Q52">
        <f t="shared" si="6"/>
        <v>52.333333333333336</v>
      </c>
    </row>
    <row r="53" spans="1:17">
      <c r="A53" t="s">
        <v>36</v>
      </c>
      <c r="B53" t="s">
        <v>25</v>
      </c>
      <c r="C53">
        <v>0</v>
      </c>
      <c r="D53" s="1">
        <v>0</v>
      </c>
      <c r="E53">
        <v>1</v>
      </c>
      <c r="F53">
        <v>0</v>
      </c>
      <c r="G53">
        <v>0</v>
      </c>
      <c r="H53">
        <f t="shared" si="1"/>
        <v>0</v>
      </c>
      <c r="I53">
        <v>0</v>
      </c>
      <c r="J53">
        <f t="shared" si="10"/>
        <v>0</v>
      </c>
      <c r="K53">
        <f>COUNTIF(B2:B60,"Dom McManus")</f>
        <v>3</v>
      </c>
      <c r="L53">
        <f>SUMIF(B2:B60,B53,C2:C60)</f>
        <v>6</v>
      </c>
      <c r="M53">
        <f t="shared" si="4"/>
        <v>2</v>
      </c>
      <c r="N53">
        <f>SUMIF(B2:B60, B53, G2:G60)</f>
        <v>20</v>
      </c>
      <c r="O53">
        <f t="shared" si="5"/>
        <v>6.666666666666667</v>
      </c>
      <c r="P53">
        <f t="shared" si="7"/>
        <v>26</v>
      </c>
      <c r="Q53">
        <f t="shared" si="6"/>
        <v>8.6666666666666661</v>
      </c>
    </row>
    <row r="54" spans="1:17">
      <c r="A54" t="s">
        <v>39</v>
      </c>
      <c r="B54" t="s">
        <v>18</v>
      </c>
      <c r="C54">
        <v>19</v>
      </c>
      <c r="D54" s="1">
        <f t="shared" si="8"/>
        <v>1.9</v>
      </c>
      <c r="E54">
        <v>13</v>
      </c>
      <c r="F54">
        <v>10</v>
      </c>
      <c r="G54">
        <v>131</v>
      </c>
      <c r="H54">
        <f t="shared" si="1"/>
        <v>150</v>
      </c>
      <c r="I54">
        <f t="shared" si="9"/>
        <v>13.1</v>
      </c>
      <c r="J54">
        <f t="shared" si="10"/>
        <v>7.5</v>
      </c>
      <c r="K54">
        <f>COUNTIF(B2:B60,"Payton Rose")</f>
        <v>7</v>
      </c>
      <c r="L54">
        <f>SUMIF(B2:B60,B54,C2:C60)</f>
        <v>110</v>
      </c>
      <c r="M54">
        <f t="shared" si="4"/>
        <v>15.714285714285714</v>
      </c>
      <c r="N54">
        <f>SUMIF(B2:B60, B54, G2:G60)</f>
        <v>825</v>
      </c>
      <c r="O54">
        <f t="shared" si="5"/>
        <v>117.85714285714286</v>
      </c>
      <c r="P54">
        <f t="shared" si="7"/>
        <v>935</v>
      </c>
      <c r="Q54">
        <f t="shared" si="6"/>
        <v>133.57142857142858</v>
      </c>
    </row>
    <row r="55" spans="1:17">
      <c r="A55" t="s">
        <v>39</v>
      </c>
      <c r="B55" t="s">
        <v>19</v>
      </c>
      <c r="C55">
        <v>41</v>
      </c>
      <c r="D55" s="1">
        <f t="shared" si="8"/>
        <v>6.833333333333333</v>
      </c>
      <c r="E55">
        <v>8</v>
      </c>
      <c r="F55">
        <v>6</v>
      </c>
      <c r="G55">
        <v>63</v>
      </c>
      <c r="H55">
        <f t="shared" si="1"/>
        <v>104</v>
      </c>
      <c r="I55">
        <f t="shared" si="9"/>
        <v>10.5</v>
      </c>
      <c r="J55">
        <f t="shared" si="10"/>
        <v>8.6666666666666661</v>
      </c>
      <c r="K55">
        <f>COUNTIF(B2:B60,"Kobe Smith")</f>
        <v>7</v>
      </c>
      <c r="L55">
        <f>SUMIF(B2:B60,B55,C2:C60)</f>
        <v>239</v>
      </c>
      <c r="M55">
        <f t="shared" si="4"/>
        <v>34.142857142857146</v>
      </c>
      <c r="N55">
        <f>SUMIF(B2:B60, B55, G2:G60)</f>
        <v>521</v>
      </c>
      <c r="O55">
        <f t="shared" si="5"/>
        <v>74.428571428571431</v>
      </c>
      <c r="P55">
        <f t="shared" si="7"/>
        <v>760</v>
      </c>
      <c r="Q55">
        <f t="shared" si="6"/>
        <v>108.57142857142857</v>
      </c>
    </row>
    <row r="56" spans="1:17">
      <c r="A56" t="s">
        <v>39</v>
      </c>
      <c r="B56" t="s">
        <v>23</v>
      </c>
      <c r="C56">
        <v>6</v>
      </c>
      <c r="D56" s="1">
        <f t="shared" si="8"/>
        <v>2</v>
      </c>
      <c r="E56">
        <v>4</v>
      </c>
      <c r="F56">
        <v>3</v>
      </c>
      <c r="G56">
        <v>29</v>
      </c>
      <c r="H56">
        <f t="shared" si="1"/>
        <v>35</v>
      </c>
      <c r="I56">
        <f t="shared" si="9"/>
        <v>9.6666666666666661</v>
      </c>
      <c r="J56">
        <f t="shared" si="10"/>
        <v>5.833333333333333</v>
      </c>
      <c r="K56">
        <f>COUNTIF(B2:B60,"Jalen Bethany")</f>
        <v>7</v>
      </c>
      <c r="L56">
        <f>SUMIF(B2:B60,B56,C2:C60)</f>
        <v>29</v>
      </c>
      <c r="M56">
        <f t="shared" si="4"/>
        <v>4.1428571428571432</v>
      </c>
      <c r="N56">
        <f>SUMIF(B2:B60, B56, G2:G60)</f>
        <v>145</v>
      </c>
      <c r="O56">
        <f t="shared" si="5"/>
        <v>20.714285714285715</v>
      </c>
      <c r="P56">
        <f t="shared" si="7"/>
        <v>174</v>
      </c>
      <c r="Q56">
        <f t="shared" si="6"/>
        <v>24.857142857142858</v>
      </c>
    </row>
    <row r="57" spans="1:17">
      <c r="A57" t="s">
        <v>39</v>
      </c>
      <c r="B57" t="s">
        <v>40</v>
      </c>
      <c r="C57">
        <v>23</v>
      </c>
      <c r="D57" s="1">
        <f t="shared" si="8"/>
        <v>7.666666666666667</v>
      </c>
      <c r="E57">
        <v>3</v>
      </c>
      <c r="F57">
        <v>3</v>
      </c>
      <c r="G57">
        <v>28</v>
      </c>
      <c r="H57">
        <f t="shared" si="1"/>
        <v>51</v>
      </c>
      <c r="I57">
        <f t="shared" si="9"/>
        <v>9.3333333333333339</v>
      </c>
      <c r="J57">
        <f t="shared" si="10"/>
        <v>8.5</v>
      </c>
      <c r="K57">
        <f>COUNTIF(B2:B60,"Donovan Marshall")</f>
        <v>1</v>
      </c>
      <c r="L57">
        <f>SUMIF(B2:B60,B57,C2:C60)</f>
        <v>23</v>
      </c>
      <c r="M57">
        <f t="shared" si="4"/>
        <v>23</v>
      </c>
      <c r="N57">
        <f>SUMIF(B2:B60, B57, G2:G60)</f>
        <v>28</v>
      </c>
      <c r="O57">
        <f t="shared" si="5"/>
        <v>28</v>
      </c>
      <c r="P57">
        <f t="shared" si="7"/>
        <v>51</v>
      </c>
      <c r="Q57">
        <f t="shared" si="6"/>
        <v>51</v>
      </c>
    </row>
    <row r="58" spans="1:17">
      <c r="A58" t="s">
        <v>39</v>
      </c>
      <c r="B58" t="s">
        <v>24</v>
      </c>
      <c r="C58">
        <v>9</v>
      </c>
      <c r="D58" s="1">
        <f t="shared" si="8"/>
        <v>9</v>
      </c>
      <c r="E58">
        <v>1</v>
      </c>
      <c r="F58">
        <v>1</v>
      </c>
      <c r="G58">
        <v>12</v>
      </c>
      <c r="H58">
        <f t="shared" si="1"/>
        <v>21</v>
      </c>
      <c r="I58">
        <f t="shared" si="9"/>
        <v>12</v>
      </c>
      <c r="J58">
        <f t="shared" si="10"/>
        <v>10.5</v>
      </c>
      <c r="K58">
        <f>COUNTIF(B2:B60,"Andrew Martin")</f>
        <v>6</v>
      </c>
      <c r="L58">
        <f>SUMIF(B2:B60,B58,C2:C60)</f>
        <v>124</v>
      </c>
      <c r="M58">
        <f t="shared" si="4"/>
        <v>20.666666666666668</v>
      </c>
      <c r="N58">
        <f>SUMIF(B2:B60, B58, G2:G60)</f>
        <v>141</v>
      </c>
      <c r="O58">
        <f t="shared" si="5"/>
        <v>23.5</v>
      </c>
      <c r="P58">
        <f t="shared" si="7"/>
        <v>265</v>
      </c>
      <c r="Q58">
        <f t="shared" si="6"/>
        <v>44.166666666666664</v>
      </c>
    </row>
    <row r="59" spans="1:17">
      <c r="A59" t="s">
        <v>39</v>
      </c>
      <c r="B59" t="s">
        <v>41</v>
      </c>
      <c r="C59">
        <v>0</v>
      </c>
      <c r="D59" s="1">
        <f t="shared" si="8"/>
        <v>0</v>
      </c>
      <c r="E59">
        <v>1</v>
      </c>
      <c r="F59">
        <v>1</v>
      </c>
      <c r="G59">
        <v>6</v>
      </c>
      <c r="H59">
        <f t="shared" si="1"/>
        <v>6</v>
      </c>
      <c r="I59">
        <f t="shared" si="9"/>
        <v>6</v>
      </c>
      <c r="J59">
        <f t="shared" si="10"/>
        <v>3</v>
      </c>
      <c r="K59">
        <f>COUNTIF(B2:B60,"Caleb Unwiller")</f>
        <v>1</v>
      </c>
      <c r="L59">
        <f>SUMIF(B2:B60,B59,C2:C60)</f>
        <v>0</v>
      </c>
      <c r="M59">
        <f t="shared" si="4"/>
        <v>0</v>
      </c>
      <c r="N59">
        <f>SUMIF(B2:B60, B59, G2:G60)</f>
        <v>6</v>
      </c>
      <c r="O59">
        <f t="shared" si="5"/>
        <v>6</v>
      </c>
      <c r="P59">
        <f t="shared" si="7"/>
        <v>6</v>
      </c>
      <c r="Q59">
        <f t="shared" si="6"/>
        <v>6</v>
      </c>
    </row>
    <row r="60" spans="1:17">
      <c r="A60" t="s">
        <v>39</v>
      </c>
      <c r="B60" t="s">
        <v>31</v>
      </c>
      <c r="C60">
        <v>0</v>
      </c>
      <c r="D60" s="1">
        <v>0</v>
      </c>
      <c r="E60">
        <v>1</v>
      </c>
      <c r="F60">
        <v>0</v>
      </c>
      <c r="G60">
        <v>0</v>
      </c>
      <c r="H60">
        <f t="shared" si="1"/>
        <v>0</v>
      </c>
      <c r="I60">
        <v>0</v>
      </c>
      <c r="J60">
        <f t="shared" si="10"/>
        <v>0</v>
      </c>
      <c r="K60">
        <f>COUNTIF(B2:B60,"Abraham Haerr")</f>
        <v>3</v>
      </c>
      <c r="L60">
        <f>SUMIF(B2:B60,B60,C2:C60)</f>
        <v>6</v>
      </c>
      <c r="M60">
        <f t="shared" si="4"/>
        <v>2</v>
      </c>
      <c r="N60">
        <f>SUMIF(B2:B60, B60, G2:G60)</f>
        <v>16</v>
      </c>
      <c r="O60">
        <f t="shared" si="5"/>
        <v>5.333333333333333</v>
      </c>
      <c r="P60">
        <f t="shared" si="7"/>
        <v>22</v>
      </c>
      <c r="Q60">
        <f t="shared" si="6"/>
        <v>7.333333333333333</v>
      </c>
    </row>
  </sheetData>
  <pageMargins left="0.7" right="0.7" top="0.75" bottom="0.75" header="0.3" footer="0.3"/>
  <ignoredErrors>
    <ignoredError sqref="D1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JACOBSEN, AARON J (Student)</cp:lastModifiedBy>
  <cp:revision/>
  <dcterms:created xsi:type="dcterms:W3CDTF">2023-01-22T07:35:43Z</dcterms:created>
  <dcterms:modified xsi:type="dcterms:W3CDTF">2023-01-23T06:26:27Z</dcterms:modified>
  <cp:category/>
  <cp:contentStatus/>
</cp:coreProperties>
</file>