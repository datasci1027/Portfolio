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AF8766FC-2BFA-4791-A7C0-1EC8D101CF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T12" i="1"/>
  <c r="T3" i="1"/>
  <c r="T4" i="1"/>
  <c r="T5" i="1"/>
  <c r="T6" i="1"/>
  <c r="T7" i="1"/>
  <c r="T8" i="1"/>
  <c r="T9" i="1"/>
  <c r="T10" i="1"/>
  <c r="T11" i="1"/>
  <c r="T2" i="1"/>
  <c r="E3" i="1"/>
  <c r="E4" i="1"/>
  <c r="E5" i="1"/>
  <c r="E6" i="1"/>
  <c r="E7" i="1"/>
  <c r="E8" i="1"/>
  <c r="E9" i="1"/>
  <c r="E10" i="1"/>
  <c r="E11" i="1"/>
  <c r="D2" i="1"/>
  <c r="E2" i="1" s="1"/>
  <c r="E12" i="1" s="1"/>
  <c r="J13" i="1"/>
  <c r="I13" i="1"/>
  <c r="J12" i="1"/>
  <c r="I12" i="1"/>
  <c r="G13" i="1"/>
  <c r="G12" i="1"/>
  <c r="F13" i="1"/>
  <c r="F12" i="1"/>
  <c r="H11" i="1"/>
  <c r="K10" i="1"/>
  <c r="H10" i="1"/>
  <c r="H9" i="1"/>
  <c r="K9" i="1"/>
  <c r="K8" i="1"/>
  <c r="H8" i="1"/>
  <c r="H7" i="1"/>
  <c r="K6" i="1"/>
  <c r="H6" i="1"/>
  <c r="K5" i="1"/>
  <c r="H5" i="1"/>
  <c r="K4" i="1"/>
  <c r="H4" i="1"/>
  <c r="K3" i="1"/>
  <c r="H3" i="1"/>
  <c r="K2" i="1"/>
  <c r="K12" i="1" s="1"/>
  <c r="H2" i="1"/>
  <c r="H12" i="1" s="1"/>
  <c r="AC13" i="1"/>
  <c r="AC12" i="1"/>
  <c r="Z2" i="1"/>
  <c r="C3" i="1"/>
  <c r="C4" i="1"/>
  <c r="C5" i="1"/>
  <c r="C6" i="1"/>
  <c r="C7" i="1"/>
  <c r="C8" i="1"/>
  <c r="C9" i="1"/>
  <c r="C10" i="1"/>
  <c r="C11" i="1"/>
  <c r="C2" i="1"/>
  <c r="M12" i="1"/>
  <c r="X3" i="1"/>
  <c r="X4" i="1"/>
  <c r="X5" i="1"/>
  <c r="X6" i="1"/>
  <c r="X7" i="1"/>
  <c r="X8" i="1"/>
  <c r="X9" i="1"/>
  <c r="X10" i="1"/>
  <c r="X11" i="1"/>
  <c r="X2" i="1"/>
  <c r="X12" i="1" s="1"/>
  <c r="W3" i="1"/>
  <c r="W4" i="1"/>
  <c r="W5" i="1"/>
  <c r="W6" i="1"/>
  <c r="W7" i="1"/>
  <c r="W8" i="1"/>
  <c r="W9" i="1"/>
  <c r="W10" i="1"/>
  <c r="W11" i="1"/>
  <c r="W2" i="1"/>
  <c r="W12" i="1" s="1"/>
  <c r="V3" i="1"/>
  <c r="V4" i="1"/>
  <c r="V5" i="1"/>
  <c r="V6" i="1"/>
  <c r="V7" i="1"/>
  <c r="V8" i="1"/>
  <c r="V9" i="1"/>
  <c r="V10" i="1"/>
  <c r="V11" i="1"/>
  <c r="V2" i="1"/>
  <c r="U5" i="1"/>
  <c r="U6" i="1"/>
  <c r="U7" i="1"/>
  <c r="U8" i="1"/>
  <c r="U9" i="1"/>
  <c r="U10" i="1"/>
  <c r="U11" i="1"/>
  <c r="U3" i="1"/>
  <c r="U4" i="1"/>
  <c r="U2" i="1"/>
  <c r="M13" i="1"/>
  <c r="N13" i="1"/>
  <c r="O13" i="1"/>
  <c r="P13" i="1"/>
  <c r="Q13" i="1"/>
  <c r="R13" i="1"/>
  <c r="S13" i="1"/>
  <c r="L13" i="1"/>
  <c r="N12" i="1"/>
  <c r="O12" i="1"/>
  <c r="P12" i="1"/>
  <c r="Q12" i="1"/>
  <c r="R12" i="1"/>
  <c r="S12" i="1"/>
  <c r="L12" i="1"/>
  <c r="D13" i="1" l="1"/>
  <c r="D12" i="1"/>
  <c r="AF2" i="1"/>
  <c r="AG2" i="1"/>
  <c r="AF11" i="1"/>
  <c r="AG11" i="1"/>
  <c r="AF10" i="1"/>
  <c r="AG10" i="1"/>
  <c r="AF9" i="1"/>
  <c r="AG9" i="1"/>
  <c r="AF8" i="1"/>
  <c r="AG8" i="1"/>
  <c r="AF7" i="1"/>
  <c r="AG7" i="1"/>
  <c r="AF6" i="1"/>
  <c r="AG6" i="1"/>
  <c r="AF5" i="1"/>
  <c r="AG5" i="1"/>
  <c r="AF4" i="1"/>
  <c r="AG4" i="1"/>
  <c r="AF3" i="1"/>
  <c r="AG3" i="1"/>
  <c r="AA2" i="1"/>
  <c r="AE2" i="1"/>
  <c r="AA11" i="1"/>
  <c r="AB11" i="1" s="1"/>
  <c r="AD11" i="1" s="1"/>
  <c r="AE11" i="1"/>
  <c r="AA10" i="1"/>
  <c r="AB10" i="1" s="1"/>
  <c r="AD10" i="1" s="1"/>
  <c r="AE10" i="1"/>
  <c r="AA9" i="1"/>
  <c r="AB9" i="1" s="1"/>
  <c r="AD9" i="1" s="1"/>
  <c r="AE9" i="1"/>
  <c r="AA8" i="1"/>
  <c r="AB8" i="1" s="1"/>
  <c r="AD8" i="1" s="1"/>
  <c r="AE8" i="1"/>
  <c r="AA7" i="1"/>
  <c r="AB7" i="1" s="1"/>
  <c r="AD7" i="1" s="1"/>
  <c r="AE7" i="1"/>
  <c r="AA6" i="1"/>
  <c r="AB6" i="1" s="1"/>
  <c r="AD6" i="1" s="1"/>
  <c r="AE6" i="1"/>
  <c r="AA5" i="1"/>
  <c r="AB5" i="1" s="1"/>
  <c r="AD5" i="1" s="1"/>
  <c r="AE5" i="1"/>
  <c r="AA4" i="1"/>
  <c r="AB4" i="1" s="1"/>
  <c r="AD4" i="1" s="1"/>
  <c r="AE4" i="1"/>
  <c r="AA3" i="1"/>
  <c r="AB3" i="1" s="1"/>
  <c r="AD3" i="1" s="1"/>
  <c r="AE3" i="1"/>
  <c r="AB2" i="1"/>
  <c r="AD2" i="1" s="1"/>
  <c r="AD12" i="1" s="1"/>
  <c r="AA13" i="1"/>
  <c r="AA12" i="1"/>
  <c r="Z13" i="1"/>
  <c r="Z12" i="1"/>
  <c r="C13" i="1"/>
  <c r="C12" i="1"/>
  <c r="U12" i="1"/>
  <c r="U13" i="1"/>
  <c r="V12" i="1"/>
  <c r="V13" i="1"/>
  <c r="AG12" i="1" l="1"/>
  <c r="AF12" i="1"/>
  <c r="AE12" i="1"/>
  <c r="AB13" i="1"/>
  <c r="AB12" i="1"/>
</calcChain>
</file>

<file path=xl/sharedStrings.xml><?xml version="1.0" encoding="utf-8"?>
<sst xmlns="http://schemas.openxmlformats.org/spreadsheetml/2006/main" count="61" uniqueCount="47">
  <si>
    <t>Numbers for Games on Graphs</t>
  </si>
  <si>
    <t>Opponent</t>
  </si>
  <si>
    <t>Total Plays</t>
  </si>
  <si>
    <t>Posession Time On the Game (In minutes)</t>
  </si>
  <si>
    <t>Possession Time Per Drive On the Game (In minutes)</t>
  </si>
  <si>
    <t>Total 3rd downs on the game</t>
  </si>
  <si>
    <t>Third downs converted</t>
  </si>
  <si>
    <t>Third Down conversion percentage</t>
  </si>
  <si>
    <t>Total Fourth Downs where team went for it on the game</t>
  </si>
  <si>
    <t>Fourth Downs Converted</t>
  </si>
  <si>
    <t>Fourth Down Conversion Percentage</t>
  </si>
  <si>
    <t>Rushing Plays Game</t>
  </si>
  <si>
    <t>Rushing Yards Game</t>
  </si>
  <si>
    <t>Rushing Touchdowns Game</t>
  </si>
  <si>
    <t>Longest Run Game</t>
  </si>
  <si>
    <t>Passing Plays Game</t>
  </si>
  <si>
    <t>Passing Yards Game</t>
  </si>
  <si>
    <t>Longest Pass Play Game</t>
  </si>
  <si>
    <t>Passing Touchdowns Game</t>
  </si>
  <si>
    <t>Average Yards Per Play (Regardless Pass or Run)</t>
  </si>
  <si>
    <t>Total Combine Yards</t>
  </si>
  <si>
    <t>Total Combine TD</t>
  </si>
  <si>
    <t>Average Rushing Yards Per Rushing Play</t>
  </si>
  <si>
    <t>Average Passing Yards Per Passing Play</t>
  </si>
  <si>
    <t>Field Goals Made</t>
  </si>
  <si>
    <t>Field Goal Points</t>
  </si>
  <si>
    <t>Touchdown Points</t>
  </si>
  <si>
    <t>Total Points</t>
  </si>
  <si>
    <t>Number Of Drives</t>
  </si>
  <si>
    <t>Average Points Per Drive</t>
  </si>
  <si>
    <t>Drives Percentage Points were scored on</t>
  </si>
  <si>
    <t>Percentage of total plays that were run plays</t>
  </si>
  <si>
    <t>Percentage of total plays that were pass plays</t>
  </si>
  <si>
    <t>Game Won</t>
  </si>
  <si>
    <t>Houston Baptist</t>
  </si>
  <si>
    <t>Keiser</t>
  </si>
  <si>
    <t>UT Martin</t>
  </si>
  <si>
    <t>SEMO</t>
  </si>
  <si>
    <t>Central Ark.</t>
  </si>
  <si>
    <t>Eastern Illinois</t>
  </si>
  <si>
    <t>Murray St.</t>
  </si>
  <si>
    <t>William Jewell</t>
  </si>
  <si>
    <t>Tennessee Tech</t>
  </si>
  <si>
    <t>McKendree</t>
  </si>
  <si>
    <t>Average Per Game On the Season</t>
  </si>
  <si>
    <t>Total On the Season</t>
  </si>
  <si>
    <t>Total Points For 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</si>
</sst>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1" xfId="0" applyFont="1" applyFill="1" applyBorder="1"/>
    <xf numFmtId="0" fontId="0" fillId="0" borderId="1" xfId="0" applyBorder="1"/>
    <xf numFmtId="0" fontId="2" fillId="4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10" fontId="0" fillId="0" borderId="1" xfId="0" applyNumberFormat="1" applyBorder="1"/>
    <xf numFmtId="0" fontId="0" fillId="0" borderId="5" xfId="0" applyBorder="1"/>
    <xf numFmtId="10" fontId="0" fillId="0" borderId="2" xfId="0" applyNumberFormat="1" applyBorder="1"/>
    <xf numFmtId="10" fontId="2" fillId="4" borderId="1" xfId="0" applyNumberFormat="1" applyFont="1" applyFill="1" applyBorder="1"/>
    <xf numFmtId="10" fontId="0" fillId="3" borderId="1" xfId="0" applyNumberFormat="1" applyFill="1" applyBorder="1"/>
    <xf numFmtId="10" fontId="0" fillId="0" borderId="0" xfId="0" applyNumberFormat="1"/>
    <xf numFmtId="10" fontId="0" fillId="3" borderId="0" xfId="0" applyNumberFormat="1" applyFill="1"/>
    <xf numFmtId="0" fontId="0" fillId="3" borderId="2" xfId="0" applyFill="1" applyBorder="1"/>
    <xf numFmtId="0" fontId="0" fillId="0" borderId="6" xfId="0" applyBorder="1"/>
    <xf numFmtId="10" fontId="0" fillId="3" borderId="4" xfId="0" applyNumberFormat="1" applyFill="1" applyBorder="1"/>
    <xf numFmtId="0" fontId="0" fillId="3" borderId="5" xfId="0" applyFill="1" applyBorder="1"/>
    <xf numFmtId="0" fontId="0" fillId="0" borderId="7" xfId="0" applyBorder="1"/>
    <xf numFmtId="2" fontId="2" fillId="4" borderId="1" xfId="0" applyNumberFormat="1" applyFont="1" applyFill="1" applyBorder="1"/>
    <xf numFmtId="2" fontId="0" fillId="3" borderId="1" xfId="0" applyNumberFormat="1" applyFill="1" applyBorder="1"/>
    <xf numFmtId="2" fontId="0" fillId="0" borderId="0" xfId="0" applyNumberFormat="1"/>
    <xf numFmtId="2" fontId="0" fillId="3" borderId="0" xfId="0" applyNumberFormat="1" applyFill="1"/>
    <xf numFmtId="0" fontId="0" fillId="3" borderId="6" xfId="0" applyFill="1" applyBorder="1"/>
    <xf numFmtId="2" fontId="0" fillId="3" borderId="4" xfId="0" applyNumberFormat="1" applyFill="1" applyBorder="1"/>
    <xf numFmtId="0" fontId="0" fillId="3" borderId="7" xfId="0" applyFill="1" applyBorder="1"/>
    <xf numFmtId="0" fontId="2" fillId="4" borderId="6" xfId="0" applyFont="1" applyFill="1" applyBorder="1"/>
    <xf numFmtId="0" fontId="1" fillId="2" borderId="6" xfId="0" applyFont="1" applyFill="1" applyBorder="1"/>
    <xf numFmtId="0" fontId="0" fillId="5" borderId="6" xfId="0" applyFill="1" applyBorder="1"/>
    <xf numFmtId="0" fontId="0" fillId="6" borderId="1" xfId="0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Rushing Yards Each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33C0C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Sheet1!$B$2:$B$12</c:f>
              <c:strCache>
                <c:ptCount val="11"/>
                <c:pt idx="0">
                  <c:v>Houston Baptist</c:v>
                </c:pt>
                <c:pt idx="1">
                  <c:v>Keiser</c:v>
                </c:pt>
                <c:pt idx="2">
                  <c:v>UT Martin</c:v>
                </c:pt>
                <c:pt idx="3">
                  <c:v>SEMO</c:v>
                </c:pt>
                <c:pt idx="4">
                  <c:v>Central Ark.</c:v>
                </c:pt>
                <c:pt idx="5">
                  <c:v>Eastern Illinois</c:v>
                </c:pt>
                <c:pt idx="6">
                  <c:v>Murray St.</c:v>
                </c:pt>
                <c:pt idx="7">
                  <c:v>William Jewell</c:v>
                </c:pt>
                <c:pt idx="8">
                  <c:v>Tennessee Tech</c:v>
                </c:pt>
                <c:pt idx="9">
                  <c:v>McKendree</c:v>
                </c:pt>
                <c:pt idx="10">
                  <c:v>Average Per Game On the Season</c:v>
                </c:pt>
              </c:strCache>
            </c:strRef>
          </c:cat>
          <c:val>
            <c:numRef>
              <c:f>Sheet1!$M$2:$M$12</c:f>
              <c:numCache>
                <c:formatCode>General</c:formatCode>
                <c:ptCount val="11"/>
                <c:pt idx="0">
                  <c:v>178</c:v>
                </c:pt>
                <c:pt idx="1">
                  <c:v>126</c:v>
                </c:pt>
                <c:pt idx="2">
                  <c:v>63</c:v>
                </c:pt>
                <c:pt idx="3">
                  <c:v>188</c:v>
                </c:pt>
                <c:pt idx="4">
                  <c:v>228</c:v>
                </c:pt>
                <c:pt idx="5">
                  <c:v>199</c:v>
                </c:pt>
                <c:pt idx="6">
                  <c:v>141</c:v>
                </c:pt>
                <c:pt idx="7">
                  <c:v>238</c:v>
                </c:pt>
                <c:pt idx="8">
                  <c:v>106</c:v>
                </c:pt>
                <c:pt idx="9">
                  <c:v>362</c:v>
                </c:pt>
                <c:pt idx="10">
                  <c:v>182.9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E-4C77-BE46-B8F682E11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692968"/>
        <c:axId val="1227696328"/>
      </c:barChart>
      <c:catAx>
        <c:axId val="1227692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96328"/>
        <c:crosses val="autoZero"/>
        <c:auto val="1"/>
        <c:lblAlgn val="ctr"/>
        <c:lblOffset val="100"/>
        <c:noMultiLvlLbl val="0"/>
      </c:catAx>
      <c:valAx>
        <c:axId val="122769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Rushing Yards On The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9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Plays for Each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Rushing Plays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Sheet1!$L$2:$L$12</c:f>
              <c:numCache>
                <c:formatCode>General</c:formatCode>
                <c:ptCount val="11"/>
                <c:pt idx="0">
                  <c:v>42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44</c:v>
                </c:pt>
                <c:pt idx="5">
                  <c:v>52</c:v>
                </c:pt>
                <c:pt idx="6">
                  <c:v>33</c:v>
                </c:pt>
                <c:pt idx="7">
                  <c:v>33</c:v>
                </c:pt>
                <c:pt idx="8">
                  <c:v>42</c:v>
                </c:pt>
                <c:pt idx="9">
                  <c:v>35</c:v>
                </c:pt>
                <c:pt idx="10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2A-4299-9503-7A61C01DEC03}"/>
            </c:ext>
          </c:extLst>
        </c:ser>
        <c:ser>
          <c:idx val="1"/>
          <c:order val="1"/>
          <c:tx>
            <c:v>Passing Plays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Sheet1!$P$2:$P$12</c:f>
              <c:numCache>
                <c:formatCode>General</c:formatCode>
                <c:ptCount val="11"/>
                <c:pt idx="0">
                  <c:v>34</c:v>
                </c:pt>
                <c:pt idx="1">
                  <c:v>37</c:v>
                </c:pt>
                <c:pt idx="2">
                  <c:v>51</c:v>
                </c:pt>
                <c:pt idx="3">
                  <c:v>44</c:v>
                </c:pt>
                <c:pt idx="4">
                  <c:v>40</c:v>
                </c:pt>
                <c:pt idx="5">
                  <c:v>42</c:v>
                </c:pt>
                <c:pt idx="6">
                  <c:v>26</c:v>
                </c:pt>
                <c:pt idx="7">
                  <c:v>36</c:v>
                </c:pt>
                <c:pt idx="8">
                  <c:v>33</c:v>
                </c:pt>
                <c:pt idx="9">
                  <c:v>31</c:v>
                </c:pt>
                <c:pt idx="10">
                  <c:v>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2A-4299-9503-7A61C01DE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185223"/>
        <c:axId val="1663178503"/>
      </c:barChart>
      <c:catAx>
        <c:axId val="1663185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Each Game with Average Per Game at 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78503"/>
        <c:crosses val="autoZero"/>
        <c:auto val="1"/>
        <c:lblAlgn val="ctr"/>
        <c:lblOffset val="100"/>
        <c:noMultiLvlLbl val="0"/>
      </c:catAx>
      <c:valAx>
        <c:axId val="1663178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85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Drives Where Points Were Scored for Each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Sheet1!$AE$2:$AE$11</c:f>
              <c:numCache>
                <c:formatCode>0.00%</c:formatCode>
                <c:ptCount val="10"/>
                <c:pt idx="0">
                  <c:v>0.33333333333333331</c:v>
                </c:pt>
                <c:pt idx="1">
                  <c:v>0.5</c:v>
                </c:pt>
                <c:pt idx="2">
                  <c:v>0.41666666666666669</c:v>
                </c:pt>
                <c:pt idx="3">
                  <c:v>0.33333333333333331</c:v>
                </c:pt>
                <c:pt idx="4">
                  <c:v>0.5714285714285714</c:v>
                </c:pt>
                <c:pt idx="5">
                  <c:v>0.46153846153846156</c:v>
                </c:pt>
                <c:pt idx="6">
                  <c:v>0.5</c:v>
                </c:pt>
                <c:pt idx="7">
                  <c:v>0.5625</c:v>
                </c:pt>
                <c:pt idx="8">
                  <c:v>0.45454545454545453</c:v>
                </c:pt>
                <c:pt idx="9">
                  <c:v>0.81818181818181823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21-407E-95C7-4F876DFEB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188103"/>
        <c:axId val="1663186183"/>
      </c:scatterChart>
      <c:valAx>
        <c:axId val="1663188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86183"/>
        <c:crosses val="autoZero"/>
        <c:crossBetween val="midCat"/>
      </c:valAx>
      <c:valAx>
        <c:axId val="166318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drives points were scored 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88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total plays that were run or pass on same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Run Plays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Sheet1!$AF$2:$AF$11</c:f>
              <c:numCache>
                <c:formatCode>0.00%</c:formatCode>
                <c:ptCount val="10"/>
                <c:pt idx="0">
                  <c:v>0.55263157894736847</c:v>
                </c:pt>
                <c:pt idx="1">
                  <c:v>0.41269841269841268</c:v>
                </c:pt>
                <c:pt idx="2">
                  <c:v>0.37037037037037035</c:v>
                </c:pt>
                <c:pt idx="3">
                  <c:v>0.44303797468354428</c:v>
                </c:pt>
                <c:pt idx="4">
                  <c:v>0.52380952380952384</c:v>
                </c:pt>
                <c:pt idx="5">
                  <c:v>0.55319148936170215</c:v>
                </c:pt>
                <c:pt idx="6">
                  <c:v>0.55932203389830504</c:v>
                </c:pt>
                <c:pt idx="7">
                  <c:v>0.47826086956521741</c:v>
                </c:pt>
                <c:pt idx="8">
                  <c:v>0.56000000000000005</c:v>
                </c:pt>
                <c:pt idx="9">
                  <c:v>0.53030303030303028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1-45C4-815B-DC454138EA3D}"/>
            </c:ext>
          </c:extLst>
        </c:ser>
        <c:ser>
          <c:idx val="1"/>
          <c:order val="1"/>
          <c:tx>
            <c:v>Pass Plays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Sheet1!$AG$2:$AG$11</c:f>
              <c:numCache>
                <c:formatCode>0.00%</c:formatCode>
                <c:ptCount val="10"/>
                <c:pt idx="0">
                  <c:v>0.44736842105263158</c:v>
                </c:pt>
                <c:pt idx="1">
                  <c:v>0.58730158730158732</c:v>
                </c:pt>
                <c:pt idx="2">
                  <c:v>0.62962962962962965</c:v>
                </c:pt>
                <c:pt idx="3">
                  <c:v>0.55696202531645567</c:v>
                </c:pt>
                <c:pt idx="4">
                  <c:v>0.47619047619047616</c:v>
                </c:pt>
                <c:pt idx="5">
                  <c:v>0.44680851063829785</c:v>
                </c:pt>
                <c:pt idx="6">
                  <c:v>0.44067796610169491</c:v>
                </c:pt>
                <c:pt idx="7">
                  <c:v>0.52173913043478259</c:v>
                </c:pt>
                <c:pt idx="8">
                  <c:v>0.44</c:v>
                </c:pt>
                <c:pt idx="9">
                  <c:v>0.46969696969696972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61-45C4-815B-DC454138E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473607"/>
        <c:axId val="1738483207"/>
      </c:barChart>
      <c:catAx>
        <c:axId val="1738473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483207"/>
        <c:crosses val="autoZero"/>
        <c:auto val="1"/>
        <c:lblAlgn val="ctr"/>
        <c:lblOffset val="100"/>
        <c:noMultiLvlLbl val="0"/>
      </c:catAx>
      <c:valAx>
        <c:axId val="173848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Plays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47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Percentage of Total Plays that were Run Calls and Average Yards Per Play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051924759405075"/>
                  <c:y val="-7.87339603382910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Sheet1!$AF$2:$AF$11</c:f>
              <c:numCache>
                <c:formatCode>0.00%</c:formatCode>
                <c:ptCount val="10"/>
                <c:pt idx="0">
                  <c:v>0.55263157894736847</c:v>
                </c:pt>
                <c:pt idx="1">
                  <c:v>0.41269841269841268</c:v>
                </c:pt>
                <c:pt idx="2">
                  <c:v>0.37037037037037035</c:v>
                </c:pt>
                <c:pt idx="3">
                  <c:v>0.44303797468354428</c:v>
                </c:pt>
                <c:pt idx="4">
                  <c:v>0.52380952380952384</c:v>
                </c:pt>
                <c:pt idx="5">
                  <c:v>0.55319148936170215</c:v>
                </c:pt>
                <c:pt idx="6">
                  <c:v>0.55932203389830504</c:v>
                </c:pt>
                <c:pt idx="7">
                  <c:v>0.47826086956521741</c:v>
                </c:pt>
                <c:pt idx="8">
                  <c:v>0.56000000000000005</c:v>
                </c:pt>
                <c:pt idx="9">
                  <c:v>0.53030303030303028</c:v>
                </c:pt>
              </c:numCache>
            </c:numRef>
          </c:xVal>
          <c:yVal>
            <c:numRef>
              <c:f>Sheet1!$AI$2:$AI$11</c:f>
              <c:numCache>
                <c:formatCode>General</c:formatCode>
                <c:ptCount val="10"/>
                <c:pt idx="0">
                  <c:v>4.7236842105263159</c:v>
                </c:pt>
                <c:pt idx="1">
                  <c:v>8.2698412698412707</c:v>
                </c:pt>
                <c:pt idx="2">
                  <c:v>5.2962962962962967</c:v>
                </c:pt>
                <c:pt idx="3">
                  <c:v>6.7594936708860756</c:v>
                </c:pt>
                <c:pt idx="4">
                  <c:v>7.6309523809523814</c:v>
                </c:pt>
                <c:pt idx="5">
                  <c:v>5.3297872340425529</c:v>
                </c:pt>
                <c:pt idx="6">
                  <c:v>6.4915254237288131</c:v>
                </c:pt>
                <c:pt idx="7">
                  <c:v>9.8985507246376816</c:v>
                </c:pt>
                <c:pt idx="8">
                  <c:v>5.4533333333333331</c:v>
                </c:pt>
                <c:pt idx="9">
                  <c:v>9.5606060606060606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E-4156-9B74-D27A5FCD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256743"/>
        <c:axId val="1663257703"/>
      </c:scatterChart>
      <c:valAx>
        <c:axId val="1663256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Total Plays that were Run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257703"/>
        <c:crosses val="autoZero"/>
        <c:crossBetween val="midCat"/>
      </c:valAx>
      <c:valAx>
        <c:axId val="166325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Yards Per Play for Each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256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Percentage of Total Plays that were Pass Plays and Average Yards Per Play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478740157480314"/>
                  <c:y val="7.975721784776944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Sheet1!$AG$2:$AG$11</c:f>
              <c:numCache>
                <c:formatCode>0.00%</c:formatCode>
                <c:ptCount val="10"/>
                <c:pt idx="0">
                  <c:v>0.44736842105263158</c:v>
                </c:pt>
                <c:pt idx="1">
                  <c:v>0.58730158730158732</c:v>
                </c:pt>
                <c:pt idx="2">
                  <c:v>0.62962962962962965</c:v>
                </c:pt>
                <c:pt idx="3">
                  <c:v>0.55696202531645567</c:v>
                </c:pt>
                <c:pt idx="4">
                  <c:v>0.47619047619047616</c:v>
                </c:pt>
                <c:pt idx="5">
                  <c:v>0.44680851063829785</c:v>
                </c:pt>
                <c:pt idx="6">
                  <c:v>0.44067796610169491</c:v>
                </c:pt>
                <c:pt idx="7">
                  <c:v>0.52173913043478259</c:v>
                </c:pt>
                <c:pt idx="8">
                  <c:v>0.44</c:v>
                </c:pt>
                <c:pt idx="9">
                  <c:v>0.46969696969696972</c:v>
                </c:pt>
              </c:numCache>
            </c:numRef>
          </c:xVal>
          <c:yVal>
            <c:numRef>
              <c:f>Sheet1!$AI$2:$AI$11</c:f>
              <c:numCache>
                <c:formatCode>General</c:formatCode>
                <c:ptCount val="10"/>
                <c:pt idx="0">
                  <c:v>4.7236842105263159</c:v>
                </c:pt>
                <c:pt idx="1">
                  <c:v>8.2698412698412707</c:v>
                </c:pt>
                <c:pt idx="2">
                  <c:v>5.2962962962962967</c:v>
                </c:pt>
                <c:pt idx="3">
                  <c:v>6.7594936708860756</c:v>
                </c:pt>
                <c:pt idx="4">
                  <c:v>7.6309523809523814</c:v>
                </c:pt>
                <c:pt idx="5">
                  <c:v>5.3297872340425529</c:v>
                </c:pt>
                <c:pt idx="6">
                  <c:v>6.4915254237288131</c:v>
                </c:pt>
                <c:pt idx="7">
                  <c:v>9.8985507246376816</c:v>
                </c:pt>
                <c:pt idx="8">
                  <c:v>5.4533333333333331</c:v>
                </c:pt>
                <c:pt idx="9">
                  <c:v>9.5606060606060606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2D-49AE-9592-133010F71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5063"/>
        <c:axId val="18968423"/>
      </c:scatterChart>
      <c:valAx>
        <c:axId val="18965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Total Plays that were Pass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423"/>
        <c:crosses val="autoZero"/>
        <c:crossBetween val="midCat"/>
      </c:valAx>
      <c:valAx>
        <c:axId val="1896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Yards Per Play for Each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Passing Yards For Each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Sheet1!$B$2:$B$11</c:f>
              <c:strCache>
                <c:ptCount val="10"/>
                <c:pt idx="0">
                  <c:v>Houston Baptist</c:v>
                </c:pt>
                <c:pt idx="1">
                  <c:v>Keiser</c:v>
                </c:pt>
                <c:pt idx="2">
                  <c:v>UT Martin</c:v>
                </c:pt>
                <c:pt idx="3">
                  <c:v>SEMO</c:v>
                </c:pt>
                <c:pt idx="4">
                  <c:v>Central Ark.</c:v>
                </c:pt>
                <c:pt idx="5">
                  <c:v>Eastern Illinois</c:v>
                </c:pt>
                <c:pt idx="6">
                  <c:v>Murray St.</c:v>
                </c:pt>
                <c:pt idx="7">
                  <c:v>William Jewell</c:v>
                </c:pt>
                <c:pt idx="8">
                  <c:v>Tennessee Tech</c:v>
                </c:pt>
                <c:pt idx="9">
                  <c:v>McKendree</c:v>
                </c:pt>
              </c:strCache>
            </c:strRef>
          </c:cat>
          <c:val>
            <c:numRef>
              <c:f>Sheet1!$Q$2:$Q$11</c:f>
              <c:numCache>
                <c:formatCode>General</c:formatCode>
                <c:ptCount val="10"/>
                <c:pt idx="0">
                  <c:v>181</c:v>
                </c:pt>
                <c:pt idx="1">
                  <c:v>395</c:v>
                </c:pt>
                <c:pt idx="2">
                  <c:v>366</c:v>
                </c:pt>
                <c:pt idx="3">
                  <c:v>346</c:v>
                </c:pt>
                <c:pt idx="4">
                  <c:v>413</c:v>
                </c:pt>
                <c:pt idx="5">
                  <c:v>302</c:v>
                </c:pt>
                <c:pt idx="6">
                  <c:v>242</c:v>
                </c:pt>
                <c:pt idx="7">
                  <c:v>445</c:v>
                </c:pt>
                <c:pt idx="8">
                  <c:v>303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C-48EC-8E61-089E9257E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630920"/>
        <c:axId val="1329623240"/>
      </c:barChart>
      <c:catAx>
        <c:axId val="1329630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23240"/>
        <c:crosses val="autoZero"/>
        <c:auto val="1"/>
        <c:lblAlgn val="ctr"/>
        <c:lblOffset val="100"/>
        <c:noMultiLvlLbl val="0"/>
      </c:catAx>
      <c:valAx>
        <c:axId val="1329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of Yards For Each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3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Points Per Drive For Each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Sheet1!$B$2:$B$11</c:f>
              <c:strCache>
                <c:ptCount val="10"/>
                <c:pt idx="0">
                  <c:v>Houston Baptist</c:v>
                </c:pt>
                <c:pt idx="1">
                  <c:v>Keiser</c:v>
                </c:pt>
                <c:pt idx="2">
                  <c:v>UT Martin</c:v>
                </c:pt>
                <c:pt idx="3">
                  <c:v>SEMO</c:v>
                </c:pt>
                <c:pt idx="4">
                  <c:v>Central Ark.</c:v>
                </c:pt>
                <c:pt idx="5">
                  <c:v>Eastern Illinois</c:v>
                </c:pt>
                <c:pt idx="6">
                  <c:v>Murray St.</c:v>
                </c:pt>
                <c:pt idx="7">
                  <c:v>William Jewell</c:v>
                </c:pt>
                <c:pt idx="8">
                  <c:v>Tennessee Tech</c:v>
                </c:pt>
                <c:pt idx="9">
                  <c:v>McKendree</c:v>
                </c:pt>
              </c:strCache>
            </c:strRef>
          </c:cat>
          <c:val>
            <c:numRef>
              <c:f>Sheet1!$AD$2:$AD$11</c:f>
              <c:numCache>
                <c:formatCode>General</c:formatCode>
                <c:ptCount val="10"/>
                <c:pt idx="0">
                  <c:v>1.3333333333333333</c:v>
                </c:pt>
                <c:pt idx="1">
                  <c:v>3.1666666666666665</c:v>
                </c:pt>
                <c:pt idx="2">
                  <c:v>2.25</c:v>
                </c:pt>
                <c:pt idx="3">
                  <c:v>2.3333333333333335</c:v>
                </c:pt>
                <c:pt idx="4">
                  <c:v>3.7142857142857144</c:v>
                </c:pt>
                <c:pt idx="5">
                  <c:v>2.9230769230769229</c:v>
                </c:pt>
                <c:pt idx="6">
                  <c:v>2.7</c:v>
                </c:pt>
                <c:pt idx="7">
                  <c:v>3.6875</c:v>
                </c:pt>
                <c:pt idx="8">
                  <c:v>3.1818181818181817</c:v>
                </c:pt>
                <c:pt idx="9">
                  <c:v>5.7272727272727275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7-430B-8A78-6E697DCD2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171191"/>
        <c:axId val="97849448"/>
      </c:barChart>
      <c:catAx>
        <c:axId val="886171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9448"/>
        <c:crosses val="autoZero"/>
        <c:auto val="1"/>
        <c:lblAlgn val="ctr"/>
        <c:lblOffset val="100"/>
        <c:noMultiLvlLbl val="0"/>
      </c:catAx>
      <c:valAx>
        <c:axId val="9784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Points Per Drive That 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7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run play calls correlation with Total Points Scored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754330708661422"/>
                  <c:y val="-9.3693132108486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Sheet2!$B$3:$B$12</c:f>
              <c:numCache>
                <c:formatCode>0.00%</c:formatCode>
                <c:ptCount val="10"/>
                <c:pt idx="0">
                  <c:v>0.55259999999999998</c:v>
                </c:pt>
                <c:pt idx="1">
                  <c:v>0.41270000000000001</c:v>
                </c:pt>
                <c:pt idx="2">
                  <c:v>0.37040000000000001</c:v>
                </c:pt>
                <c:pt idx="3">
                  <c:v>0.443</c:v>
                </c:pt>
                <c:pt idx="4">
                  <c:v>0.52380000000000004</c:v>
                </c:pt>
                <c:pt idx="5">
                  <c:v>0.55320000000000003</c:v>
                </c:pt>
                <c:pt idx="6">
                  <c:v>0.55930000000000002</c:v>
                </c:pt>
                <c:pt idx="7">
                  <c:v>0.4783</c:v>
                </c:pt>
                <c:pt idx="8">
                  <c:v>0.56000000000000005</c:v>
                </c:pt>
                <c:pt idx="9">
                  <c:v>0.53029999999999999</c:v>
                </c:pt>
              </c:numCache>
            </c:numRef>
          </c:xVal>
          <c:yVal>
            <c:numRef>
              <c:f>Sheet2!$D$3:$D$12</c:f>
              <c:numCache>
                <c:formatCode>General</c:formatCode>
                <c:ptCount val="10"/>
                <c:pt idx="0">
                  <c:v>16</c:v>
                </c:pt>
                <c:pt idx="1">
                  <c:v>38</c:v>
                </c:pt>
                <c:pt idx="2">
                  <c:v>27</c:v>
                </c:pt>
                <c:pt idx="3">
                  <c:v>28</c:v>
                </c:pt>
                <c:pt idx="4">
                  <c:v>52</c:v>
                </c:pt>
                <c:pt idx="5">
                  <c:v>38</c:v>
                </c:pt>
                <c:pt idx="6">
                  <c:v>27</c:v>
                </c:pt>
                <c:pt idx="7">
                  <c:v>59</c:v>
                </c:pt>
                <c:pt idx="8">
                  <c:v>35</c:v>
                </c:pt>
                <c:pt idx="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1F-4BD7-B8DF-7F02DFCAA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380439"/>
        <c:axId val="1478378519"/>
      </c:scatterChart>
      <c:valAx>
        <c:axId val="1478380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Total Plays that were Run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78519"/>
        <c:crosses val="autoZero"/>
        <c:crossBetween val="midCat"/>
      </c:valAx>
      <c:valAx>
        <c:axId val="1478378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Points Scored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80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pass play calls correlation with Total Points Scored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384339457567804"/>
                  <c:y val="-0.13121500437445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Sheet2!$C$3:$C$12</c:f>
              <c:numCache>
                <c:formatCode>0.00%</c:formatCode>
                <c:ptCount val="10"/>
                <c:pt idx="0">
                  <c:v>0.44740000000000002</c:v>
                </c:pt>
                <c:pt idx="1">
                  <c:v>0.58730000000000004</c:v>
                </c:pt>
                <c:pt idx="2">
                  <c:v>0.62960000000000005</c:v>
                </c:pt>
                <c:pt idx="3">
                  <c:v>0.55700000000000005</c:v>
                </c:pt>
                <c:pt idx="4">
                  <c:v>0.47620000000000001</c:v>
                </c:pt>
                <c:pt idx="5">
                  <c:v>0.44679999999999997</c:v>
                </c:pt>
                <c:pt idx="6">
                  <c:v>0.44069999999999998</c:v>
                </c:pt>
                <c:pt idx="7">
                  <c:v>0.52170000000000005</c:v>
                </c:pt>
                <c:pt idx="8">
                  <c:v>0.44</c:v>
                </c:pt>
                <c:pt idx="9">
                  <c:v>0.46970000000000001</c:v>
                </c:pt>
              </c:numCache>
            </c:numRef>
          </c:xVal>
          <c:yVal>
            <c:numRef>
              <c:f>Sheet2!$D$3:$D$12</c:f>
              <c:numCache>
                <c:formatCode>General</c:formatCode>
                <c:ptCount val="10"/>
                <c:pt idx="0">
                  <c:v>16</c:v>
                </c:pt>
                <c:pt idx="1">
                  <c:v>38</c:v>
                </c:pt>
                <c:pt idx="2">
                  <c:v>27</c:v>
                </c:pt>
                <c:pt idx="3">
                  <c:v>28</c:v>
                </c:pt>
                <c:pt idx="4">
                  <c:v>52</c:v>
                </c:pt>
                <c:pt idx="5">
                  <c:v>38</c:v>
                </c:pt>
                <c:pt idx="6">
                  <c:v>27</c:v>
                </c:pt>
                <c:pt idx="7">
                  <c:v>59</c:v>
                </c:pt>
                <c:pt idx="8">
                  <c:v>35</c:v>
                </c:pt>
                <c:pt idx="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70-48A4-8D8A-4D949E91B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268423"/>
        <c:axId val="1832259303"/>
      </c:scatterChart>
      <c:valAx>
        <c:axId val="1832268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Total Plays that were Pass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59303"/>
        <c:crosses val="autoZero"/>
        <c:crossBetween val="midCat"/>
      </c:valAx>
      <c:valAx>
        <c:axId val="183225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Points Scored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68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552450</xdr:colOff>
      <xdr:row>30</xdr:row>
      <xdr:rowOff>104775</xdr:rowOff>
    </xdr:from>
    <xdr:to>
      <xdr:col>13</xdr:col>
      <xdr:colOff>876300</xdr:colOff>
      <xdr:row>47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180AD3-0E72-8BE6-5BCC-E4709D7B2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1504950</xdr:colOff>
      <xdr:row>23</xdr:row>
      <xdr:rowOff>142875</xdr:rowOff>
    </xdr:from>
    <xdr:to>
      <xdr:col>9</xdr:col>
      <xdr:colOff>676275</xdr:colOff>
      <xdr:row>54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3E2F85-89B6-F462-37AB-413D722FB1C3}"/>
            </a:ext>
            <a:ext uri="{147F2762-F138-4A5C-976F-8EAC2B608ADB}">
              <a16:predDERef xmlns:a16="http://schemas.microsoft.com/office/drawing/2014/main" pred="{16180AD3-0E72-8BE6-5BCC-E4709D7B2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714375</xdr:colOff>
      <xdr:row>28</xdr:row>
      <xdr:rowOff>95250</xdr:rowOff>
    </xdr:from>
    <xdr:to>
      <xdr:col>20</xdr:col>
      <xdr:colOff>942975</xdr:colOff>
      <xdr:row>46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B8D005-565D-156E-58A5-621E3606F584}"/>
            </a:ext>
            <a:ext uri="{147F2762-F138-4A5C-976F-8EAC2B608ADB}">
              <a16:predDERef xmlns:a16="http://schemas.microsoft.com/office/drawing/2014/main" pred="{9B3E2F85-89B6-F462-37AB-413D722FB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666750</xdr:colOff>
      <xdr:row>26</xdr:row>
      <xdr:rowOff>133350</xdr:rowOff>
    </xdr:from>
    <xdr:to>
      <xdr:col>26</xdr:col>
      <xdr:colOff>2000250</xdr:colOff>
      <xdr:row>53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077537F-BD89-467C-16A4-652D03F320FB}"/>
            </a:ext>
            <a:ext uri="{147F2762-F138-4A5C-976F-8EAC2B608ADB}">
              <a16:predDERef xmlns:a16="http://schemas.microsoft.com/office/drawing/2014/main" pred="{CEB8D005-565D-156E-58A5-621E3606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1400175</xdr:colOff>
      <xdr:row>14</xdr:row>
      <xdr:rowOff>123825</xdr:rowOff>
    </xdr:from>
    <xdr:to>
      <xdr:col>34</xdr:col>
      <xdr:colOff>2295525</xdr:colOff>
      <xdr:row>30</xdr:row>
      <xdr:rowOff>152400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B27133-6F3C-604B-F679-ED2B60013601}"/>
            </a:ext>
            <a:ext uri="{147F2762-F138-4A5C-976F-8EAC2B608ADB}">
              <a16:predDERef xmlns:a16="http://schemas.microsoft.com/office/drawing/2014/main" pred="{1077537F-BD89-467C-16A4-652D03F32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647700</xdr:colOff>
      <xdr:row>15</xdr:row>
      <xdr:rowOff>171450</xdr:rowOff>
    </xdr:from>
    <xdr:to>
      <xdr:col>31</xdr:col>
      <xdr:colOff>2552700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07AB4-428C-A1AC-E2C8-06019C9FDA42}"/>
            </a:ext>
            <a:ext uri="{147F2762-F138-4A5C-976F-8EAC2B608ADB}">
              <a16:predDERef xmlns:a16="http://schemas.microsoft.com/office/drawing/2014/main" pred="{BFB27133-6F3C-604B-F679-ED2B60013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885825</xdr:colOff>
      <xdr:row>17</xdr:row>
      <xdr:rowOff>9525</xdr:rowOff>
    </xdr:from>
    <xdr:to>
      <xdr:col>5</xdr:col>
      <xdr:colOff>590550</xdr:colOff>
      <xdr:row>33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E11773-2FF8-FA4E-9626-81A84F46EDB8}"/>
            </a:ext>
            <a:ext uri="{147F2762-F138-4A5C-976F-8EAC2B608ADB}">
              <a16:predDERef xmlns:a16="http://schemas.microsoft.com/office/drawing/2014/main" pred="{A5F07AB4-428C-A1AC-E2C8-06019C9FD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809625</xdr:colOff>
      <xdr:row>19</xdr:row>
      <xdr:rowOff>114300</xdr:rowOff>
    </xdr:from>
    <xdr:to>
      <xdr:col>3</xdr:col>
      <xdr:colOff>285750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88677-8BE6-918E-1324-38DD981EBE2D}"/>
            </a:ext>
            <a:ext uri="{147F2762-F138-4A5C-976F-8EAC2B608ADB}">
              <a16:predDERef xmlns:a16="http://schemas.microsoft.com/office/drawing/2014/main" pred="{E3E11773-2FF8-FA4E-9626-81A84F46E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13</xdr:row>
      <xdr:rowOff>104775</xdr:rowOff>
    </xdr:from>
    <xdr:to>
      <xdr:col>19</xdr:col>
      <xdr:colOff>571500</xdr:colOff>
      <xdr:row>41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F012EA-BBEA-F715-DDDA-EA47C0E8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13</xdr:row>
      <xdr:rowOff>180975</xdr:rowOff>
    </xdr:from>
    <xdr:to>
      <xdr:col>3</xdr:col>
      <xdr:colOff>2857500</xdr:colOff>
      <xdr:row>47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5E8754-7F2D-296A-063E-BA084A9B4130}"/>
            </a:ext>
            <a:ext uri="{147F2762-F138-4A5C-976F-8EAC2B608ADB}">
              <a16:predDERef xmlns:a16="http://schemas.microsoft.com/office/drawing/2014/main" pred="{2DF012EA-BBEA-F715-DDDA-EA47C0E8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tabSelected="1" topLeftCell="T27" workbookViewId="0">
      <selection activeCell="Z26" sqref="Z26"/>
    </sheetView>
  </sheetViews>
  <sheetFormatPr defaultRowHeight="15"/>
  <cols>
    <col min="1" max="1" width="32.140625" customWidth="1"/>
    <col min="2" max="3" width="29.85546875" customWidth="1"/>
    <col min="4" max="4" width="38" style="22" customWidth="1"/>
    <col min="5" max="5" width="47" style="22" customWidth="1"/>
    <col min="6" max="7" width="29.85546875" customWidth="1"/>
    <col min="8" max="8" width="32.28515625" style="13" customWidth="1"/>
    <col min="9" max="11" width="49.140625" customWidth="1"/>
    <col min="12" max="12" width="18.42578125" customWidth="1"/>
    <col min="13" max="13" width="18.85546875" customWidth="1"/>
    <col min="14" max="14" width="26.28515625" customWidth="1"/>
    <col min="15" max="15" width="17.42578125" customWidth="1"/>
    <col min="16" max="17" width="17.7109375" customWidth="1"/>
    <col min="18" max="18" width="25.85546875" customWidth="1"/>
    <col min="19" max="19" width="24" customWidth="1"/>
    <col min="20" max="20" width="46" customWidth="1"/>
    <col min="21" max="22" width="26.85546875" customWidth="1"/>
    <col min="23" max="23" width="36" customWidth="1"/>
    <col min="24" max="25" width="35" customWidth="1"/>
    <col min="26" max="30" width="33.42578125" customWidth="1"/>
    <col min="31" max="33" width="40" customWidth="1"/>
    <col min="34" max="34" width="24" customWidth="1"/>
    <col min="35" max="35" width="47" customWidth="1"/>
  </cols>
  <sheetData>
    <row r="1" spans="1:35">
      <c r="A1" s="30" t="s">
        <v>0</v>
      </c>
      <c r="B1" s="27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t="s">
        <v>33</v>
      </c>
      <c r="AI1" s="1" t="s">
        <v>19</v>
      </c>
    </row>
    <row r="2" spans="1:35">
      <c r="A2" s="30">
        <v>1</v>
      </c>
      <c r="B2" s="28" t="s">
        <v>34</v>
      </c>
      <c r="C2" s="7">
        <f>L2+P2</f>
        <v>76</v>
      </c>
      <c r="D2" s="21">
        <f>35 + (2/60)</f>
        <v>35.033333333333331</v>
      </c>
      <c r="E2" s="21">
        <f>D2/AC2</f>
        <v>2.9194444444444443</v>
      </c>
      <c r="F2" s="7">
        <v>14</v>
      </c>
      <c r="G2" s="7">
        <v>5</v>
      </c>
      <c r="H2" s="12">
        <f>G2/F2</f>
        <v>0.35714285714285715</v>
      </c>
      <c r="I2" s="7">
        <v>3</v>
      </c>
      <c r="J2" s="7">
        <v>0</v>
      </c>
      <c r="K2" s="12">
        <f>J2/I2</f>
        <v>0</v>
      </c>
      <c r="L2" s="2">
        <v>42</v>
      </c>
      <c r="M2" s="2">
        <v>178</v>
      </c>
      <c r="N2" s="2">
        <v>1</v>
      </c>
      <c r="O2" s="2">
        <v>20</v>
      </c>
      <c r="P2" s="2">
        <v>34</v>
      </c>
      <c r="Q2" s="2">
        <v>181</v>
      </c>
      <c r="R2" s="2">
        <v>21</v>
      </c>
      <c r="S2" s="4">
        <v>0</v>
      </c>
      <c r="T2" s="4">
        <f>U2/C2</f>
        <v>4.7236842105263159</v>
      </c>
      <c r="U2" s="2">
        <f>M2+Q2</f>
        <v>359</v>
      </c>
      <c r="V2" s="4">
        <f>N2+S2</f>
        <v>1</v>
      </c>
      <c r="W2" s="2">
        <f>M2/L2</f>
        <v>4.2380952380952381</v>
      </c>
      <c r="X2" s="4">
        <f>Q2/P2</f>
        <v>5.3235294117647056</v>
      </c>
      <c r="Y2" s="2">
        <v>3</v>
      </c>
      <c r="Z2" s="2">
        <f>3*3</f>
        <v>9</v>
      </c>
      <c r="AA2" s="2">
        <f>7*V2</f>
        <v>7</v>
      </c>
      <c r="AB2" s="2">
        <f>Z2+AA2</f>
        <v>16</v>
      </c>
      <c r="AC2" s="2">
        <v>12</v>
      </c>
      <c r="AD2" s="2">
        <f>AB2/AC2</f>
        <v>1.3333333333333333</v>
      </c>
      <c r="AE2" s="10">
        <f>(Y2+V2)/AC2</f>
        <v>0.33333333333333331</v>
      </c>
      <c r="AF2" s="8">
        <f>L2/C2</f>
        <v>0.55263157894736847</v>
      </c>
      <c r="AG2" s="8">
        <f>P2/C2</f>
        <v>0.44736842105263158</v>
      </c>
      <c r="AH2" t="b">
        <v>1</v>
      </c>
      <c r="AI2" s="2">
        <f>U2/C2</f>
        <v>4.7236842105263159</v>
      </c>
    </row>
    <row r="3" spans="1:35">
      <c r="A3" s="30">
        <v>2</v>
      </c>
      <c r="B3" s="28" t="s">
        <v>35</v>
      </c>
      <c r="C3" s="7">
        <f t="shared" ref="C3:C11" si="0">L3+P3</f>
        <v>63</v>
      </c>
      <c r="D3" s="21">
        <v>24.5</v>
      </c>
      <c r="E3" s="21">
        <f t="shared" ref="E3:E13" si="1">D3/AC3</f>
        <v>2.0416666666666665</v>
      </c>
      <c r="F3" s="7">
        <v>12</v>
      </c>
      <c r="G3" s="7">
        <v>6</v>
      </c>
      <c r="H3" s="12">
        <f>G3/F3</f>
        <v>0.5</v>
      </c>
      <c r="I3" s="7">
        <v>1</v>
      </c>
      <c r="J3" s="7">
        <v>1</v>
      </c>
      <c r="K3" s="12">
        <f>J3/I3</f>
        <v>1</v>
      </c>
      <c r="L3" s="2">
        <v>26</v>
      </c>
      <c r="M3" s="2">
        <v>126</v>
      </c>
      <c r="N3" s="2">
        <v>2</v>
      </c>
      <c r="O3" s="2">
        <v>22</v>
      </c>
      <c r="P3" s="2">
        <v>37</v>
      </c>
      <c r="Q3" s="2">
        <v>395</v>
      </c>
      <c r="R3" s="2">
        <v>78</v>
      </c>
      <c r="S3" s="4">
        <v>3</v>
      </c>
      <c r="T3" s="4">
        <f t="shared" ref="T3:T11" si="2">U3/C3</f>
        <v>8.2698412698412707</v>
      </c>
      <c r="U3" s="2">
        <f t="shared" ref="U3:U13" si="3">M3+Q3</f>
        <v>521</v>
      </c>
      <c r="V3" s="4">
        <f t="shared" ref="V3:V13" si="4">N3+S3</f>
        <v>5</v>
      </c>
      <c r="W3" s="2">
        <f t="shared" ref="W3:W13" si="5">M3/L3</f>
        <v>4.8461538461538458</v>
      </c>
      <c r="X3" s="4">
        <f t="shared" ref="X3:X13" si="6">Q3/P3</f>
        <v>10.675675675675675</v>
      </c>
      <c r="Y3" s="2">
        <v>1</v>
      </c>
      <c r="Z3" s="2">
        <v>3</v>
      </c>
      <c r="AA3" s="2">
        <f t="shared" ref="AA3:AA11" si="7">7*V3</f>
        <v>35</v>
      </c>
      <c r="AB3" s="2">
        <f t="shared" ref="AB3:AB11" si="8">Z3+AA3</f>
        <v>38</v>
      </c>
      <c r="AC3" s="2">
        <v>12</v>
      </c>
      <c r="AD3" s="2">
        <f t="shared" ref="AD3:AD11" si="9">AB3/AC3</f>
        <v>3.1666666666666665</v>
      </c>
      <c r="AE3" s="10">
        <f t="shared" ref="AE3:AE11" si="10">(Y3+V3)/AC3</f>
        <v>0.5</v>
      </c>
      <c r="AF3" s="8">
        <f t="shared" ref="AF3:AF11" si="11">L3/C3</f>
        <v>0.41269841269841268</v>
      </c>
      <c r="AG3" s="8">
        <f t="shared" ref="AG3:AG11" si="12">P3/C3</f>
        <v>0.58730158730158732</v>
      </c>
      <c r="AH3" t="b">
        <v>1</v>
      </c>
      <c r="AI3" s="2">
        <f t="shared" ref="AI3:AI11" si="13">U3/C3</f>
        <v>8.2698412698412707</v>
      </c>
    </row>
    <row r="4" spans="1:35">
      <c r="A4" s="30">
        <v>3</v>
      </c>
      <c r="B4" s="28" t="s">
        <v>36</v>
      </c>
      <c r="C4" s="7">
        <f t="shared" si="0"/>
        <v>81</v>
      </c>
      <c r="D4" s="21">
        <v>37.283000000000001</v>
      </c>
      <c r="E4" s="21">
        <f t="shared" si="1"/>
        <v>3.1069166666666668</v>
      </c>
      <c r="F4" s="7">
        <v>14</v>
      </c>
      <c r="G4" s="7">
        <v>6</v>
      </c>
      <c r="H4" s="12">
        <f>G4/F4</f>
        <v>0.42857142857142855</v>
      </c>
      <c r="I4" s="7">
        <v>2</v>
      </c>
      <c r="J4" s="7">
        <v>1</v>
      </c>
      <c r="K4" s="12">
        <f>J4/I4</f>
        <v>0.5</v>
      </c>
      <c r="L4" s="2">
        <v>30</v>
      </c>
      <c r="M4" s="2">
        <v>63</v>
      </c>
      <c r="N4" s="2">
        <v>1</v>
      </c>
      <c r="O4" s="2">
        <v>26</v>
      </c>
      <c r="P4" s="2">
        <v>51</v>
      </c>
      <c r="Q4" s="2">
        <v>366</v>
      </c>
      <c r="R4" s="2">
        <v>41</v>
      </c>
      <c r="S4" s="4">
        <v>2</v>
      </c>
      <c r="T4" s="4">
        <f t="shared" si="2"/>
        <v>5.2962962962962967</v>
      </c>
      <c r="U4" s="2">
        <f t="shared" si="3"/>
        <v>429</v>
      </c>
      <c r="V4" s="4">
        <f t="shared" si="4"/>
        <v>3</v>
      </c>
      <c r="W4" s="2">
        <f t="shared" si="5"/>
        <v>2.1</v>
      </c>
      <c r="X4" s="4">
        <f t="shared" si="6"/>
        <v>7.1764705882352944</v>
      </c>
      <c r="Y4" s="2">
        <v>2</v>
      </c>
      <c r="Z4" s="2">
        <v>6</v>
      </c>
      <c r="AA4" s="2">
        <f t="shared" si="7"/>
        <v>21</v>
      </c>
      <c r="AB4" s="2">
        <f t="shared" si="8"/>
        <v>27</v>
      </c>
      <c r="AC4" s="2">
        <v>12</v>
      </c>
      <c r="AD4" s="2">
        <f t="shared" si="9"/>
        <v>2.25</v>
      </c>
      <c r="AE4" s="10">
        <f t="shared" si="10"/>
        <v>0.41666666666666669</v>
      </c>
      <c r="AF4" s="8">
        <f t="shared" si="11"/>
        <v>0.37037037037037035</v>
      </c>
      <c r="AG4" s="8">
        <f t="shared" si="12"/>
        <v>0.62962962962962965</v>
      </c>
      <c r="AH4" t="b">
        <v>0</v>
      </c>
      <c r="AI4" s="2">
        <f t="shared" si="13"/>
        <v>5.2962962962962967</v>
      </c>
    </row>
    <row r="5" spans="1:35">
      <c r="A5" s="30">
        <v>4</v>
      </c>
      <c r="B5" s="28" t="s">
        <v>37</v>
      </c>
      <c r="C5" s="7">
        <f t="shared" si="0"/>
        <v>79</v>
      </c>
      <c r="D5" s="21">
        <v>32.450000000000003</v>
      </c>
      <c r="E5" s="21">
        <f t="shared" si="1"/>
        <v>2.7041666666666671</v>
      </c>
      <c r="F5" s="7">
        <v>12</v>
      </c>
      <c r="G5" s="7">
        <v>6</v>
      </c>
      <c r="H5" s="12">
        <f>G5/F5</f>
        <v>0.5</v>
      </c>
      <c r="I5" s="7">
        <v>1</v>
      </c>
      <c r="J5" s="7">
        <v>1</v>
      </c>
      <c r="K5" s="12">
        <f>J5/I5</f>
        <v>1</v>
      </c>
      <c r="L5" s="2">
        <v>35</v>
      </c>
      <c r="M5" s="2">
        <v>188</v>
      </c>
      <c r="N5" s="2">
        <v>1</v>
      </c>
      <c r="O5" s="2">
        <v>24</v>
      </c>
      <c r="P5" s="2">
        <v>44</v>
      </c>
      <c r="Q5" s="2">
        <v>346</v>
      </c>
      <c r="R5" s="2">
        <v>30</v>
      </c>
      <c r="S5" s="4">
        <v>3</v>
      </c>
      <c r="T5" s="4">
        <f t="shared" si="2"/>
        <v>6.7594936708860756</v>
      </c>
      <c r="U5" s="2">
        <f t="shared" si="3"/>
        <v>534</v>
      </c>
      <c r="V5" s="4">
        <f t="shared" si="4"/>
        <v>4</v>
      </c>
      <c r="W5" s="2">
        <f t="shared" si="5"/>
        <v>5.371428571428571</v>
      </c>
      <c r="X5" s="4">
        <f t="shared" si="6"/>
        <v>7.8636363636363633</v>
      </c>
      <c r="Y5" s="2">
        <v>0</v>
      </c>
      <c r="Z5" s="2">
        <v>0</v>
      </c>
      <c r="AA5" s="2">
        <f t="shared" si="7"/>
        <v>28</v>
      </c>
      <c r="AB5" s="2">
        <f t="shared" si="8"/>
        <v>28</v>
      </c>
      <c r="AC5" s="2">
        <v>12</v>
      </c>
      <c r="AD5" s="2">
        <f t="shared" si="9"/>
        <v>2.3333333333333335</v>
      </c>
      <c r="AE5" s="10">
        <f t="shared" si="10"/>
        <v>0.33333333333333331</v>
      </c>
      <c r="AF5" s="8">
        <f t="shared" si="11"/>
        <v>0.44303797468354428</v>
      </c>
      <c r="AG5" s="8">
        <f t="shared" si="12"/>
        <v>0.55696202531645567</v>
      </c>
      <c r="AH5" t="b">
        <v>0</v>
      </c>
      <c r="AI5" s="2">
        <f t="shared" si="13"/>
        <v>6.7594936708860756</v>
      </c>
    </row>
    <row r="6" spans="1:35">
      <c r="A6" s="30">
        <v>5</v>
      </c>
      <c r="B6" s="28" t="s">
        <v>38</v>
      </c>
      <c r="C6" s="7">
        <f t="shared" si="0"/>
        <v>84</v>
      </c>
      <c r="D6" s="21">
        <v>34.83</v>
      </c>
      <c r="E6" s="21">
        <f t="shared" si="1"/>
        <v>2.4878571428571425</v>
      </c>
      <c r="F6" s="7">
        <v>15</v>
      </c>
      <c r="G6" s="7">
        <v>7</v>
      </c>
      <c r="H6" s="12">
        <f>G6/F6</f>
        <v>0.46666666666666667</v>
      </c>
      <c r="I6" s="7">
        <v>1</v>
      </c>
      <c r="J6" s="7">
        <v>1</v>
      </c>
      <c r="K6" s="12">
        <f>J6/I6</f>
        <v>1</v>
      </c>
      <c r="L6" s="2">
        <v>44</v>
      </c>
      <c r="M6" s="2">
        <v>228</v>
      </c>
      <c r="N6" s="2">
        <v>5</v>
      </c>
      <c r="O6" s="2">
        <v>63</v>
      </c>
      <c r="P6" s="2">
        <v>40</v>
      </c>
      <c r="Q6" s="2">
        <v>413</v>
      </c>
      <c r="R6" s="2">
        <v>58</v>
      </c>
      <c r="S6" s="4">
        <v>2</v>
      </c>
      <c r="T6" s="4">
        <f t="shared" si="2"/>
        <v>7.6309523809523814</v>
      </c>
      <c r="U6" s="2">
        <f t="shared" si="3"/>
        <v>641</v>
      </c>
      <c r="V6" s="4">
        <f t="shared" si="4"/>
        <v>7</v>
      </c>
      <c r="W6" s="2">
        <f t="shared" si="5"/>
        <v>5.1818181818181817</v>
      </c>
      <c r="X6" s="4">
        <f t="shared" si="6"/>
        <v>10.324999999999999</v>
      </c>
      <c r="Y6" s="2">
        <v>1</v>
      </c>
      <c r="Z6" s="2">
        <v>3</v>
      </c>
      <c r="AA6" s="2">
        <f t="shared" si="7"/>
        <v>49</v>
      </c>
      <c r="AB6" s="2">
        <f t="shared" si="8"/>
        <v>52</v>
      </c>
      <c r="AC6" s="2">
        <v>14</v>
      </c>
      <c r="AD6" s="2">
        <f t="shared" si="9"/>
        <v>3.7142857142857144</v>
      </c>
      <c r="AE6" s="10">
        <f t="shared" si="10"/>
        <v>0.5714285714285714</v>
      </c>
      <c r="AF6" s="8">
        <f t="shared" si="11"/>
        <v>0.52380952380952384</v>
      </c>
      <c r="AG6" s="8">
        <f t="shared" si="12"/>
        <v>0.47619047619047616</v>
      </c>
      <c r="AH6" t="b">
        <v>1</v>
      </c>
      <c r="AI6" s="2">
        <f t="shared" si="13"/>
        <v>7.6309523809523814</v>
      </c>
    </row>
    <row r="7" spans="1:35">
      <c r="A7" s="30">
        <v>6</v>
      </c>
      <c r="B7" s="28" t="s">
        <v>39</v>
      </c>
      <c r="C7" s="7">
        <f t="shared" si="0"/>
        <v>94</v>
      </c>
      <c r="D7" s="21">
        <v>36.366999999999997</v>
      </c>
      <c r="E7" s="21">
        <f t="shared" si="1"/>
        <v>2.7974615384615382</v>
      </c>
      <c r="F7" s="7">
        <v>16</v>
      </c>
      <c r="G7" s="7">
        <v>10</v>
      </c>
      <c r="H7" s="12">
        <f>G7/F7</f>
        <v>0.625</v>
      </c>
      <c r="I7" s="7">
        <v>0</v>
      </c>
      <c r="J7" s="7">
        <v>0</v>
      </c>
      <c r="K7" s="12">
        <v>0</v>
      </c>
      <c r="L7" s="2">
        <v>52</v>
      </c>
      <c r="M7" s="2">
        <v>199</v>
      </c>
      <c r="N7" s="2">
        <v>2</v>
      </c>
      <c r="O7" s="2">
        <v>16</v>
      </c>
      <c r="P7" s="2">
        <v>42</v>
      </c>
      <c r="Q7" s="2">
        <v>302</v>
      </c>
      <c r="R7" s="2">
        <v>37</v>
      </c>
      <c r="S7" s="4">
        <v>3</v>
      </c>
      <c r="T7" s="4">
        <f t="shared" si="2"/>
        <v>5.3297872340425529</v>
      </c>
      <c r="U7" s="2">
        <f t="shared" si="3"/>
        <v>501</v>
      </c>
      <c r="V7" s="4">
        <f t="shared" si="4"/>
        <v>5</v>
      </c>
      <c r="W7" s="2">
        <f t="shared" si="5"/>
        <v>3.8269230769230771</v>
      </c>
      <c r="X7" s="4">
        <f t="shared" si="6"/>
        <v>7.1904761904761907</v>
      </c>
      <c r="Y7" s="2">
        <v>1</v>
      </c>
      <c r="Z7" s="2">
        <v>3</v>
      </c>
      <c r="AA7" s="2">
        <f t="shared" si="7"/>
        <v>35</v>
      </c>
      <c r="AB7" s="2">
        <f t="shared" si="8"/>
        <v>38</v>
      </c>
      <c r="AC7" s="2">
        <v>13</v>
      </c>
      <c r="AD7" s="2">
        <f t="shared" si="9"/>
        <v>2.9230769230769229</v>
      </c>
      <c r="AE7" s="10">
        <f t="shared" si="10"/>
        <v>0.46153846153846156</v>
      </c>
      <c r="AF7" s="8">
        <f t="shared" si="11"/>
        <v>0.55319148936170215</v>
      </c>
      <c r="AG7" s="8">
        <f t="shared" si="12"/>
        <v>0.44680851063829785</v>
      </c>
      <c r="AH7" t="b">
        <v>1</v>
      </c>
      <c r="AI7" s="2">
        <f t="shared" si="13"/>
        <v>5.3297872340425529</v>
      </c>
    </row>
    <row r="8" spans="1:35">
      <c r="A8" s="30">
        <v>7</v>
      </c>
      <c r="B8" s="28" t="s">
        <v>40</v>
      </c>
      <c r="C8" s="7">
        <f t="shared" si="0"/>
        <v>59</v>
      </c>
      <c r="D8" s="21">
        <v>25.466999999999999</v>
      </c>
      <c r="E8" s="21">
        <f t="shared" si="1"/>
        <v>2.5467</v>
      </c>
      <c r="F8" s="7">
        <v>12</v>
      </c>
      <c r="G8" s="7">
        <v>5</v>
      </c>
      <c r="H8" s="12">
        <f>G8/F8</f>
        <v>0.41666666666666669</v>
      </c>
      <c r="I8" s="7">
        <v>1</v>
      </c>
      <c r="J8" s="7">
        <v>0</v>
      </c>
      <c r="K8" s="12">
        <f>J8/I8</f>
        <v>0</v>
      </c>
      <c r="L8" s="2">
        <v>33</v>
      </c>
      <c r="M8" s="2">
        <v>141</v>
      </c>
      <c r="N8" s="2">
        <v>0</v>
      </c>
      <c r="O8" s="2">
        <v>19</v>
      </c>
      <c r="P8" s="2">
        <v>26</v>
      </c>
      <c r="Q8" s="2">
        <v>242</v>
      </c>
      <c r="R8" s="2">
        <v>64</v>
      </c>
      <c r="S8" s="4">
        <v>3</v>
      </c>
      <c r="T8" s="4">
        <f t="shared" si="2"/>
        <v>6.4915254237288131</v>
      </c>
      <c r="U8" s="2">
        <f t="shared" si="3"/>
        <v>383</v>
      </c>
      <c r="V8" s="4">
        <f t="shared" si="4"/>
        <v>3</v>
      </c>
      <c r="W8" s="2">
        <f t="shared" si="5"/>
        <v>4.2727272727272725</v>
      </c>
      <c r="X8" s="4">
        <f t="shared" si="6"/>
        <v>9.3076923076923084</v>
      </c>
      <c r="Y8" s="2">
        <v>2</v>
      </c>
      <c r="Z8" s="2">
        <v>6</v>
      </c>
      <c r="AA8" s="2">
        <f t="shared" si="7"/>
        <v>21</v>
      </c>
      <c r="AB8" s="2">
        <f t="shared" si="8"/>
        <v>27</v>
      </c>
      <c r="AC8" s="2">
        <v>10</v>
      </c>
      <c r="AD8" s="2">
        <f t="shared" si="9"/>
        <v>2.7</v>
      </c>
      <c r="AE8" s="10">
        <f t="shared" si="10"/>
        <v>0.5</v>
      </c>
      <c r="AF8" s="8">
        <f t="shared" si="11"/>
        <v>0.55932203389830504</v>
      </c>
      <c r="AG8" s="8">
        <f t="shared" si="12"/>
        <v>0.44067796610169491</v>
      </c>
      <c r="AH8" t="b">
        <v>1</v>
      </c>
      <c r="AI8" s="2">
        <f t="shared" si="13"/>
        <v>6.4915254237288131</v>
      </c>
    </row>
    <row r="9" spans="1:35">
      <c r="A9" s="30">
        <v>8</v>
      </c>
      <c r="B9" s="28" t="s">
        <v>41</v>
      </c>
      <c r="C9" s="7">
        <f t="shared" si="0"/>
        <v>69</v>
      </c>
      <c r="D9" s="21">
        <v>28.73</v>
      </c>
      <c r="E9" s="21">
        <f t="shared" si="1"/>
        <v>1.795625</v>
      </c>
      <c r="F9" s="7">
        <v>11</v>
      </c>
      <c r="G9" s="7">
        <v>4</v>
      </c>
      <c r="H9" s="12">
        <f>G9/F9</f>
        <v>0.36363636363636365</v>
      </c>
      <c r="I9" s="7">
        <v>2</v>
      </c>
      <c r="J9" s="7">
        <v>2</v>
      </c>
      <c r="K9" s="12">
        <f>J9/I9</f>
        <v>1</v>
      </c>
      <c r="L9" s="2">
        <v>33</v>
      </c>
      <c r="M9" s="2">
        <v>238</v>
      </c>
      <c r="N9" s="2">
        <v>1</v>
      </c>
      <c r="O9" s="2">
        <v>53</v>
      </c>
      <c r="P9" s="2">
        <v>36</v>
      </c>
      <c r="Q9" s="2">
        <v>445</v>
      </c>
      <c r="R9" s="2">
        <v>53</v>
      </c>
      <c r="S9" s="4">
        <v>7</v>
      </c>
      <c r="T9" s="4">
        <f t="shared" si="2"/>
        <v>9.8985507246376816</v>
      </c>
      <c r="U9" s="2">
        <f t="shared" si="3"/>
        <v>683</v>
      </c>
      <c r="V9" s="4">
        <f t="shared" si="4"/>
        <v>8</v>
      </c>
      <c r="W9" s="2">
        <f t="shared" si="5"/>
        <v>7.2121212121212119</v>
      </c>
      <c r="X9" s="4">
        <f t="shared" si="6"/>
        <v>12.361111111111111</v>
      </c>
      <c r="Y9" s="2">
        <v>1</v>
      </c>
      <c r="Z9" s="2">
        <v>3</v>
      </c>
      <c r="AA9" s="2">
        <f t="shared" si="7"/>
        <v>56</v>
      </c>
      <c r="AB9" s="2">
        <f t="shared" si="8"/>
        <v>59</v>
      </c>
      <c r="AC9" s="2">
        <v>16</v>
      </c>
      <c r="AD9" s="2">
        <f t="shared" si="9"/>
        <v>3.6875</v>
      </c>
      <c r="AE9" s="10">
        <f t="shared" si="10"/>
        <v>0.5625</v>
      </c>
      <c r="AF9" s="8">
        <f t="shared" si="11"/>
        <v>0.47826086956521741</v>
      </c>
      <c r="AG9" s="8">
        <f t="shared" si="12"/>
        <v>0.52173913043478259</v>
      </c>
      <c r="AH9" t="b">
        <v>1</v>
      </c>
      <c r="AI9" s="2">
        <f t="shared" si="13"/>
        <v>9.8985507246376816</v>
      </c>
    </row>
    <row r="10" spans="1:35">
      <c r="A10" s="30">
        <v>9</v>
      </c>
      <c r="B10" s="28" t="s">
        <v>42</v>
      </c>
      <c r="C10" s="7">
        <f t="shared" si="0"/>
        <v>75</v>
      </c>
      <c r="D10" s="21">
        <v>32.216000000000001</v>
      </c>
      <c r="E10" s="21">
        <f t="shared" si="1"/>
        <v>2.9287272727272726</v>
      </c>
      <c r="F10" s="7">
        <v>16</v>
      </c>
      <c r="G10" s="7">
        <v>9</v>
      </c>
      <c r="H10" s="12">
        <f>G10/F10</f>
        <v>0.5625</v>
      </c>
      <c r="I10" s="7">
        <v>2</v>
      </c>
      <c r="J10" s="7">
        <v>2</v>
      </c>
      <c r="K10" s="12">
        <f>J10/I10</f>
        <v>1</v>
      </c>
      <c r="L10" s="2">
        <v>42</v>
      </c>
      <c r="M10" s="2">
        <v>106</v>
      </c>
      <c r="N10" s="2">
        <v>0</v>
      </c>
      <c r="O10" s="2">
        <v>15</v>
      </c>
      <c r="P10" s="2">
        <v>33</v>
      </c>
      <c r="Q10" s="2">
        <v>303</v>
      </c>
      <c r="R10" s="2">
        <v>40</v>
      </c>
      <c r="S10" s="4">
        <v>5</v>
      </c>
      <c r="T10" s="4">
        <f t="shared" si="2"/>
        <v>5.4533333333333331</v>
      </c>
      <c r="U10" s="2">
        <f t="shared" si="3"/>
        <v>409</v>
      </c>
      <c r="V10" s="4">
        <f t="shared" si="4"/>
        <v>5</v>
      </c>
      <c r="W10" s="2">
        <f t="shared" si="5"/>
        <v>2.5238095238095237</v>
      </c>
      <c r="X10" s="4">
        <f t="shared" si="6"/>
        <v>9.1818181818181817</v>
      </c>
      <c r="Y10" s="2">
        <v>0</v>
      </c>
      <c r="Z10" s="2">
        <v>0</v>
      </c>
      <c r="AA10" s="2">
        <f t="shared" si="7"/>
        <v>35</v>
      </c>
      <c r="AB10" s="2">
        <f t="shared" si="8"/>
        <v>35</v>
      </c>
      <c r="AC10" s="2">
        <v>11</v>
      </c>
      <c r="AD10" s="2">
        <f t="shared" si="9"/>
        <v>3.1818181818181817</v>
      </c>
      <c r="AE10" s="10">
        <f t="shared" si="10"/>
        <v>0.45454545454545453</v>
      </c>
      <c r="AF10" s="8">
        <f t="shared" si="11"/>
        <v>0.56000000000000005</v>
      </c>
      <c r="AG10" s="8">
        <f t="shared" si="12"/>
        <v>0.44</v>
      </c>
      <c r="AH10" t="b">
        <v>0</v>
      </c>
      <c r="AI10" s="2">
        <f t="shared" si="13"/>
        <v>5.4533333333333331</v>
      </c>
    </row>
    <row r="11" spans="1:35">
      <c r="A11" s="30">
        <v>10</v>
      </c>
      <c r="B11" s="28" t="s">
        <v>43</v>
      </c>
      <c r="C11" s="7">
        <f t="shared" si="0"/>
        <v>66</v>
      </c>
      <c r="D11" s="21">
        <v>27</v>
      </c>
      <c r="E11" s="25">
        <f t="shared" si="1"/>
        <v>2.4545454545454546</v>
      </c>
      <c r="F11" s="7">
        <v>6</v>
      </c>
      <c r="G11" s="7">
        <v>6</v>
      </c>
      <c r="H11" s="17">
        <f>G11/F11</f>
        <v>1</v>
      </c>
      <c r="I11" s="7">
        <v>0</v>
      </c>
      <c r="J11" s="7">
        <v>0</v>
      </c>
      <c r="K11" s="17">
        <v>0</v>
      </c>
      <c r="L11" s="2">
        <v>35</v>
      </c>
      <c r="M11" s="2">
        <v>362</v>
      </c>
      <c r="N11" s="2">
        <v>6</v>
      </c>
      <c r="O11" s="2">
        <v>41</v>
      </c>
      <c r="P11" s="2">
        <v>31</v>
      </c>
      <c r="Q11" s="2">
        <v>269</v>
      </c>
      <c r="R11" s="2">
        <v>25</v>
      </c>
      <c r="S11" s="4">
        <v>3</v>
      </c>
      <c r="T11" s="9">
        <f t="shared" si="2"/>
        <v>9.5606060606060606</v>
      </c>
      <c r="U11" s="2">
        <f t="shared" si="3"/>
        <v>631</v>
      </c>
      <c r="V11" s="4">
        <f t="shared" si="4"/>
        <v>9</v>
      </c>
      <c r="W11" s="6">
        <f t="shared" si="5"/>
        <v>10.342857142857143</v>
      </c>
      <c r="X11" s="9">
        <f t="shared" si="6"/>
        <v>8.67741935483871</v>
      </c>
      <c r="Y11" s="2">
        <v>0</v>
      </c>
      <c r="Z11" s="2">
        <v>0</v>
      </c>
      <c r="AA11" s="2">
        <f t="shared" si="7"/>
        <v>63</v>
      </c>
      <c r="AB11" s="2">
        <f t="shared" si="8"/>
        <v>63</v>
      </c>
      <c r="AC11" s="2">
        <v>11</v>
      </c>
      <c r="AD11" s="2">
        <f t="shared" si="9"/>
        <v>5.7272727272727275</v>
      </c>
      <c r="AE11" s="10">
        <f t="shared" si="10"/>
        <v>0.81818181818181823</v>
      </c>
      <c r="AF11" s="8">
        <f t="shared" si="11"/>
        <v>0.53030303030303028</v>
      </c>
      <c r="AG11" s="8">
        <f t="shared" si="12"/>
        <v>0.46969696969696972</v>
      </c>
      <c r="AH11" t="b">
        <v>1</v>
      </c>
      <c r="AI11" s="2">
        <f t="shared" si="13"/>
        <v>9.5606060606060606</v>
      </c>
    </row>
    <row r="12" spans="1:35">
      <c r="A12" s="30">
        <v>11</v>
      </c>
      <c r="B12" s="29" t="s">
        <v>44</v>
      </c>
      <c r="C12" s="7">
        <f>AVERAGE(C2:C11)</f>
        <v>74.599999999999994</v>
      </c>
      <c r="D12" s="18">
        <f>AVERAGE(D2:D11)</f>
        <v>31.387633333333333</v>
      </c>
      <c r="E12" s="7">
        <f>AVERAGE(E2:E11)</f>
        <v>2.5783110853035853</v>
      </c>
      <c r="F12" s="26">
        <f>AVERAGE(F2:F11)</f>
        <v>12.8</v>
      </c>
      <c r="G12" s="18">
        <f>AVERAGE(G2:G11)</f>
        <v>6.4</v>
      </c>
      <c r="H12" s="12">
        <f>AVERAGE(H2:H11)</f>
        <v>0.52201839826839824</v>
      </c>
      <c r="I12" s="26">
        <f>AVERAGE(I2:I11)</f>
        <v>1.3</v>
      </c>
      <c r="J12" s="18">
        <f>AVERAGE(J2:J11)</f>
        <v>0.8</v>
      </c>
      <c r="K12" s="12">
        <f>AVERAGE(K2:K11)</f>
        <v>0.55000000000000004</v>
      </c>
      <c r="L12" s="19">
        <f>AVERAGE(L2:L11)</f>
        <v>37.200000000000003</v>
      </c>
      <c r="M12" s="2">
        <f>AVERAGE(M2:M11)</f>
        <v>182.9</v>
      </c>
      <c r="N12" s="2">
        <f t="shared" ref="N12:T12" si="14">AVERAGE(N2:N11)</f>
        <v>1.9</v>
      </c>
      <c r="O12" s="2">
        <f t="shared" si="14"/>
        <v>29.9</v>
      </c>
      <c r="P12" s="2">
        <f t="shared" si="14"/>
        <v>37.4</v>
      </c>
      <c r="Q12" s="2">
        <f t="shared" si="14"/>
        <v>326.2</v>
      </c>
      <c r="R12" s="2">
        <f t="shared" si="14"/>
        <v>44.7</v>
      </c>
      <c r="S12" s="9">
        <f t="shared" si="14"/>
        <v>3.1</v>
      </c>
      <c r="T12" s="2">
        <f t="shared" si="14"/>
        <v>6.9414070604850782</v>
      </c>
      <c r="U12" s="32">
        <f t="shared" ref="U12" si="15">AVERAGE(U2:U11)</f>
        <v>509.1</v>
      </c>
      <c r="V12" s="5">
        <f t="shared" ref="V12" si="16">AVERAGE(V2:V11)</f>
        <v>5</v>
      </c>
      <c r="W12" s="2">
        <f>AVERAGE(W2:W11)</f>
        <v>4.9915934065934069</v>
      </c>
      <c r="X12" s="4">
        <f>AVERAGE(X2:X11)</f>
        <v>8.8082829185248546</v>
      </c>
      <c r="Y12" s="2"/>
      <c r="Z12" s="6">
        <f>AVERAGE(Z2:Z11)</f>
        <v>3.3</v>
      </c>
      <c r="AA12" s="6">
        <f>AVERAGE(AA2:AA11)</f>
        <v>35</v>
      </c>
      <c r="AB12" s="6">
        <f>AVERAGE(AB2:AB11)</f>
        <v>38.299999999999997</v>
      </c>
      <c r="AC12" s="6">
        <f>AVERAGE(AC2:AC11)</f>
        <v>12.3</v>
      </c>
      <c r="AD12" s="2">
        <f>AVERAGE(AD2:AD11)</f>
        <v>3.1017286879786878</v>
      </c>
      <c r="AE12" s="10">
        <f>AVERAGE(AE2:AE11)</f>
        <v>0.49515276390276391</v>
      </c>
      <c r="AF12" s="8">
        <f t="shared" ref="AF12:AG12" si="17">AVERAGE(AF2:AF11)</f>
        <v>0.49836252836374745</v>
      </c>
      <c r="AG12" s="8">
        <f t="shared" si="17"/>
        <v>0.50163747163625261</v>
      </c>
      <c r="AI12" s="2">
        <f t="shared" ref="AI12" si="18">AVERAGE(AI2:AI11)</f>
        <v>6.9414070604850782</v>
      </c>
    </row>
    <row r="13" spans="1:35">
      <c r="A13" s="30">
        <v>12</v>
      </c>
      <c r="B13" s="29" t="s">
        <v>45</v>
      </c>
      <c r="C13" s="15">
        <f>SUM(C2:C11)</f>
        <v>746</v>
      </c>
      <c r="D13" s="7">
        <f>SUM(D2:D11)</f>
        <v>313.87633333333332</v>
      </c>
      <c r="E13" s="23"/>
      <c r="F13" s="15">
        <f>SUM(F2:F11)</f>
        <v>128</v>
      </c>
      <c r="G13" s="7">
        <f>SUM(G2:G11)</f>
        <v>64</v>
      </c>
      <c r="H13" s="14"/>
      <c r="I13" s="7">
        <f>SUM(I2:I11)</f>
        <v>13</v>
      </c>
      <c r="J13" s="24">
        <f>SUM(J2:J11)</f>
        <v>8</v>
      </c>
      <c r="K13" s="14"/>
      <c r="L13" s="2">
        <f>SUM(L2:L11)</f>
        <v>372</v>
      </c>
      <c r="M13" s="16">
        <f t="shared" ref="M13:V13" si="19">SUM(M2:M11)</f>
        <v>1829</v>
      </c>
      <c r="N13" s="2">
        <f t="shared" si="19"/>
        <v>19</v>
      </c>
      <c r="O13" s="2">
        <f t="shared" si="19"/>
        <v>299</v>
      </c>
      <c r="P13" s="2">
        <f t="shared" si="19"/>
        <v>374</v>
      </c>
      <c r="Q13" s="2">
        <f t="shared" si="19"/>
        <v>3262</v>
      </c>
      <c r="R13" s="4">
        <f t="shared" si="19"/>
        <v>447</v>
      </c>
      <c r="S13" s="2">
        <f t="shared" si="19"/>
        <v>31</v>
      </c>
      <c r="U13" s="2">
        <f t="shared" si="19"/>
        <v>5091</v>
      </c>
      <c r="V13" s="31">
        <f t="shared" si="19"/>
        <v>50</v>
      </c>
      <c r="Z13" s="2">
        <f>SUM(Z2:Z11)</f>
        <v>33</v>
      </c>
      <c r="AA13" s="2">
        <f t="shared" ref="AA13:AC13" si="20">SUM(AA2:AA11)</f>
        <v>350</v>
      </c>
      <c r="AB13" s="2">
        <f t="shared" si="20"/>
        <v>383</v>
      </c>
      <c r="AC13" s="2">
        <f t="shared" si="20"/>
        <v>123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8908-5887-47EF-AF29-8588DDCCAB99}">
  <dimension ref="A2:D12"/>
  <sheetViews>
    <sheetView workbookViewId="0">
      <selection activeCell="F2" sqref="F2"/>
    </sheetView>
  </sheetViews>
  <sheetFormatPr defaultRowHeight="15"/>
  <cols>
    <col min="1" max="1" width="21.42578125" customWidth="1"/>
    <col min="2" max="2" width="45.28515625" style="13" customWidth="1"/>
    <col min="3" max="3" width="44.42578125" bestFit="1" customWidth="1"/>
    <col min="4" max="4" width="43.5703125" bestFit="1" customWidth="1"/>
    <col min="5" max="13" width="12.5703125" bestFit="1" customWidth="1"/>
    <col min="14" max="14" width="7.42578125" bestFit="1" customWidth="1"/>
    <col min="15" max="15" width="11.7109375" bestFit="1" customWidth="1"/>
  </cols>
  <sheetData>
    <row r="2" spans="1:4">
      <c r="A2" s="27" t="s">
        <v>1</v>
      </c>
      <c r="B2" s="11" t="s">
        <v>31</v>
      </c>
      <c r="C2" s="1" t="s">
        <v>32</v>
      </c>
      <c r="D2" s="1" t="s">
        <v>46</v>
      </c>
    </row>
    <row r="3" spans="1:4">
      <c r="A3" s="28" t="s">
        <v>34</v>
      </c>
      <c r="B3" s="8">
        <v>0.55259999999999998</v>
      </c>
      <c r="C3" s="8">
        <v>0.44740000000000002</v>
      </c>
      <c r="D3" s="2">
        <v>16</v>
      </c>
    </row>
    <row r="4" spans="1:4">
      <c r="A4" s="28" t="s">
        <v>35</v>
      </c>
      <c r="B4" s="8">
        <v>0.41270000000000001</v>
      </c>
      <c r="C4" s="8">
        <v>0.58730000000000004</v>
      </c>
      <c r="D4" s="2">
        <v>38</v>
      </c>
    </row>
    <row r="5" spans="1:4">
      <c r="A5" s="28" t="s">
        <v>36</v>
      </c>
      <c r="B5" s="8">
        <v>0.37040000000000001</v>
      </c>
      <c r="C5" s="8">
        <v>0.62960000000000005</v>
      </c>
      <c r="D5" s="2">
        <v>27</v>
      </c>
    </row>
    <row r="6" spans="1:4">
      <c r="A6" s="28" t="s">
        <v>37</v>
      </c>
      <c r="B6" s="8">
        <v>0.443</v>
      </c>
      <c r="C6" s="8">
        <v>0.55700000000000005</v>
      </c>
      <c r="D6" s="2">
        <v>28</v>
      </c>
    </row>
    <row r="7" spans="1:4">
      <c r="A7" s="28" t="s">
        <v>38</v>
      </c>
      <c r="B7" s="8">
        <v>0.52380000000000004</v>
      </c>
      <c r="C7" s="8">
        <v>0.47620000000000001</v>
      </c>
      <c r="D7" s="2">
        <v>52</v>
      </c>
    </row>
    <row r="8" spans="1:4">
      <c r="A8" s="28" t="s">
        <v>39</v>
      </c>
      <c r="B8" s="8">
        <v>0.55320000000000003</v>
      </c>
      <c r="C8" s="8">
        <v>0.44679999999999997</v>
      </c>
      <c r="D8" s="2">
        <v>38</v>
      </c>
    </row>
    <row r="9" spans="1:4">
      <c r="A9" s="28" t="s">
        <v>40</v>
      </c>
      <c r="B9" s="8">
        <v>0.55930000000000002</v>
      </c>
      <c r="C9" s="8">
        <v>0.44069999999999998</v>
      </c>
      <c r="D9" s="2">
        <v>27</v>
      </c>
    </row>
    <row r="10" spans="1:4">
      <c r="A10" s="28" t="s">
        <v>41</v>
      </c>
      <c r="B10" s="8">
        <v>0.4783</v>
      </c>
      <c r="C10" s="8">
        <v>0.52170000000000005</v>
      </c>
      <c r="D10" s="2">
        <v>59</v>
      </c>
    </row>
    <row r="11" spans="1:4">
      <c r="A11" s="28" t="s">
        <v>42</v>
      </c>
      <c r="B11" s="8">
        <v>0.56000000000000005</v>
      </c>
      <c r="C11" s="8">
        <v>0.44</v>
      </c>
      <c r="D11" s="2">
        <v>35</v>
      </c>
    </row>
    <row r="12" spans="1:4">
      <c r="A12" s="28" t="s">
        <v>43</v>
      </c>
      <c r="B12" s="8">
        <v>0.53029999999999999</v>
      </c>
      <c r="C12" s="8">
        <v>0.46970000000000001</v>
      </c>
      <c r="D12" s="2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2023-02-06T08:06:05Z</dcterms:created>
  <dcterms:modified xsi:type="dcterms:W3CDTF">2026-02-15T23:45:34Z</dcterms:modified>
  <cp:category/>
  <cp:contentStatus/>
</cp:coreProperties>
</file>