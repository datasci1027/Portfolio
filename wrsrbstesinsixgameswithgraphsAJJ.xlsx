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C8E3BB4D-AC2E-4F5F-B405-FB977CE914D0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Original data" sheetId="1" r:id="rId1"/>
    <sheet name="AverageYacPerGamePerCatchSeason" sheetId="2" r:id="rId2"/>
    <sheet name="AverageYacPerPlayPerCatchSeason" sheetId="5" r:id="rId3"/>
    <sheet name="TotalYardseachgameRegressionalA" sheetId="6" r:id="rId4"/>
    <sheet name="TotalCombinedYardsOnTheSeason" sheetId="7" r:id="rId5"/>
  </sheets>
  <definedNames>
    <definedName name="_xlnm._FilterDatabase" localSheetId="0" hidden="1">'Original data'!$A$1:$H$30</definedName>
  </definedNames>
  <calcPr calcId="191028"/>
  <pivotCaches>
    <pivotCache cacheId="1119" r:id="rId6"/>
    <pivotCache cacheId="112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7" i="1"/>
  <c r="L38" i="1"/>
  <c r="L39" i="1"/>
  <c r="L40" i="1"/>
  <c r="L41" i="1"/>
  <c r="L42" i="1"/>
  <c r="L44" i="1"/>
  <c r="L45" i="1"/>
  <c r="L46" i="1"/>
  <c r="L47" i="1"/>
  <c r="L48" i="1"/>
  <c r="L49" i="1"/>
  <c r="L50" i="1"/>
  <c r="L51" i="1"/>
  <c r="L52" i="1"/>
  <c r="L54" i="1"/>
  <c r="L55" i="1"/>
  <c r="L56" i="1"/>
  <c r="L57" i="1"/>
  <c r="L58" i="1"/>
  <c r="L59" i="1"/>
  <c r="L2" i="1"/>
  <c r="V60" i="1"/>
  <c r="V59" i="1"/>
  <c r="V58" i="1"/>
  <c r="V57" i="1"/>
  <c r="V55" i="1"/>
  <c r="V54" i="1"/>
  <c r="V53" i="1"/>
  <c r="V52" i="1"/>
  <c r="V51" i="1"/>
  <c r="V50" i="1"/>
  <c r="V48" i="1"/>
  <c r="V47" i="1"/>
  <c r="V46" i="1"/>
  <c r="V45" i="1"/>
  <c r="V44" i="1"/>
  <c r="V43" i="1"/>
  <c r="V42" i="1"/>
  <c r="V41" i="1"/>
  <c r="V40" i="1"/>
  <c r="V38" i="1"/>
  <c r="V37" i="1"/>
  <c r="V36" i="1"/>
  <c r="V35" i="1"/>
  <c r="V34" i="1"/>
  <c r="V33" i="1"/>
  <c r="V31" i="1"/>
  <c r="V30" i="1"/>
  <c r="V29" i="1"/>
  <c r="V28" i="1"/>
  <c r="V27" i="1"/>
  <c r="V26" i="1"/>
  <c r="V25" i="1"/>
  <c r="V23" i="1"/>
  <c r="V22" i="1"/>
  <c r="V21" i="1"/>
  <c r="V20" i="1"/>
  <c r="V19" i="1"/>
  <c r="V18" i="1"/>
  <c r="V17" i="1"/>
  <c r="V16" i="1"/>
  <c r="V14" i="1"/>
  <c r="V13" i="1"/>
  <c r="V12" i="1"/>
  <c r="V11" i="1"/>
  <c r="V10" i="1"/>
  <c r="V9" i="1"/>
  <c r="V8" i="1"/>
  <c r="V6" i="1"/>
  <c r="V5" i="1"/>
  <c r="V4" i="1"/>
  <c r="V3" i="1"/>
  <c r="V2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T60" i="1"/>
  <c r="T59" i="1"/>
  <c r="T58" i="1"/>
  <c r="T57" i="1"/>
  <c r="T55" i="1"/>
  <c r="T54" i="1"/>
  <c r="T53" i="1"/>
  <c r="T52" i="1"/>
  <c r="T51" i="1"/>
  <c r="T50" i="1"/>
  <c r="T48" i="1"/>
  <c r="T47" i="1"/>
  <c r="T46" i="1"/>
  <c r="T45" i="1"/>
  <c r="T44" i="1"/>
  <c r="T43" i="1"/>
  <c r="T42" i="1"/>
  <c r="T41" i="1"/>
  <c r="T40" i="1"/>
  <c r="T38" i="1"/>
  <c r="T37" i="1"/>
  <c r="T36" i="1"/>
  <c r="T35" i="1"/>
  <c r="T34" i="1"/>
  <c r="T33" i="1"/>
  <c r="T31" i="1"/>
  <c r="T30" i="1"/>
  <c r="T29" i="1"/>
  <c r="T28" i="1"/>
  <c r="T27" i="1"/>
  <c r="T26" i="1"/>
  <c r="T25" i="1"/>
  <c r="T23" i="1"/>
  <c r="T22" i="1"/>
  <c r="T21" i="1"/>
  <c r="T20" i="1"/>
  <c r="T19" i="1"/>
  <c r="T18" i="1"/>
  <c r="T17" i="1"/>
  <c r="T16" i="1"/>
  <c r="T14" i="1"/>
  <c r="T13" i="1"/>
  <c r="T12" i="1"/>
  <c r="T11" i="1"/>
  <c r="T10" i="1"/>
  <c r="T9" i="1"/>
  <c r="T8" i="1"/>
  <c r="T6" i="1"/>
  <c r="T5" i="1"/>
  <c r="T4" i="1"/>
  <c r="T3" i="1"/>
  <c r="T2" i="1"/>
  <c r="F3" i="1"/>
  <c r="F4" i="1"/>
  <c r="F5" i="1"/>
  <c r="F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7" i="1"/>
  <c r="F38" i="1"/>
  <c r="F39" i="1"/>
  <c r="F40" i="1"/>
  <c r="F41" i="1"/>
  <c r="F42" i="1"/>
  <c r="F44" i="1"/>
  <c r="F45" i="1"/>
  <c r="F46" i="1"/>
  <c r="F47" i="1"/>
  <c r="F48" i="1"/>
  <c r="F49" i="1"/>
  <c r="F50" i="1"/>
  <c r="F51" i="1"/>
  <c r="F52" i="1"/>
  <c r="F54" i="1"/>
  <c r="F55" i="1"/>
  <c r="F56" i="1"/>
  <c r="F57" i="1"/>
  <c r="F58" i="1"/>
  <c r="F5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7" i="1"/>
  <c r="E38" i="1"/>
  <c r="E39" i="1"/>
  <c r="E40" i="1"/>
  <c r="E41" i="1"/>
  <c r="E42" i="1"/>
  <c r="E44" i="1"/>
  <c r="E45" i="1"/>
  <c r="E46" i="1"/>
  <c r="E47" i="1"/>
  <c r="E48" i="1"/>
  <c r="E49" i="1"/>
  <c r="E50" i="1"/>
  <c r="E51" i="1"/>
  <c r="E52" i="1"/>
  <c r="E54" i="1"/>
  <c r="E55" i="1"/>
  <c r="E56" i="1"/>
  <c r="E57" i="1"/>
  <c r="E58" i="1"/>
  <c r="E59" i="1"/>
  <c r="E2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D2" i="1"/>
  <c r="N13" i="1"/>
  <c r="N12" i="1"/>
  <c r="N11" i="1"/>
  <c r="N10" i="1"/>
  <c r="N9" i="1"/>
  <c r="N8" i="1"/>
  <c r="N7" i="1"/>
  <c r="N6" i="1"/>
  <c r="N5" i="1"/>
  <c r="N4" i="1"/>
  <c r="N3" i="1"/>
  <c r="N2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K54" i="1"/>
  <c r="K55" i="1"/>
  <c r="K56" i="1"/>
  <c r="K57" i="1"/>
  <c r="K58" i="1"/>
  <c r="K59" i="1"/>
  <c r="J54" i="1"/>
  <c r="J55" i="1"/>
  <c r="J56" i="1"/>
  <c r="J57" i="1"/>
  <c r="J58" i="1"/>
  <c r="J59" i="1"/>
  <c r="J60" i="1"/>
  <c r="D54" i="1"/>
  <c r="D55" i="1"/>
  <c r="D56" i="1"/>
  <c r="D57" i="1"/>
  <c r="D58" i="1"/>
  <c r="D59" i="1"/>
  <c r="K44" i="1"/>
  <c r="K45" i="1"/>
  <c r="K46" i="1"/>
  <c r="K47" i="1"/>
  <c r="K48" i="1"/>
  <c r="K49" i="1"/>
  <c r="K50" i="1"/>
  <c r="K51" i="1"/>
  <c r="K52" i="1"/>
  <c r="D44" i="1"/>
  <c r="D45" i="1"/>
  <c r="D46" i="1"/>
  <c r="D47" i="1"/>
  <c r="D48" i="1"/>
  <c r="D49" i="1"/>
  <c r="D50" i="1"/>
  <c r="D51" i="1"/>
  <c r="D52" i="1"/>
  <c r="J44" i="1"/>
  <c r="J45" i="1"/>
  <c r="J46" i="1"/>
  <c r="J47" i="1"/>
  <c r="J48" i="1"/>
  <c r="J49" i="1"/>
  <c r="J50" i="1"/>
  <c r="J51" i="1"/>
  <c r="J52" i="1"/>
  <c r="J53" i="1"/>
  <c r="D38" i="1"/>
  <c r="D39" i="1"/>
  <c r="D40" i="1"/>
  <c r="D41" i="1"/>
  <c r="D42" i="1"/>
  <c r="K38" i="1"/>
  <c r="K39" i="1"/>
  <c r="K40" i="1"/>
  <c r="K41" i="1"/>
  <c r="K42" i="1"/>
  <c r="K37" i="1"/>
  <c r="J37" i="1"/>
  <c r="J38" i="1"/>
  <c r="J39" i="1"/>
  <c r="J40" i="1"/>
  <c r="J41" i="1"/>
  <c r="J42" i="1"/>
  <c r="J43" i="1"/>
  <c r="D37" i="1"/>
  <c r="K28" i="1"/>
  <c r="K29" i="1"/>
  <c r="K30" i="1"/>
  <c r="K31" i="1"/>
  <c r="K32" i="1"/>
  <c r="K33" i="1"/>
  <c r="K34" i="1"/>
  <c r="K35" i="1"/>
  <c r="J28" i="1"/>
  <c r="J29" i="1"/>
  <c r="J30" i="1"/>
  <c r="J31" i="1"/>
  <c r="J32" i="1"/>
  <c r="J33" i="1"/>
  <c r="J34" i="1"/>
  <c r="J35" i="1"/>
  <c r="J36" i="1"/>
  <c r="D28" i="1"/>
  <c r="D29" i="1"/>
  <c r="D30" i="1"/>
  <c r="D31" i="1"/>
  <c r="D32" i="1"/>
  <c r="D33" i="1"/>
  <c r="D34" i="1"/>
  <c r="D35" i="1"/>
  <c r="K19" i="1"/>
  <c r="K20" i="1"/>
  <c r="K21" i="1"/>
  <c r="K22" i="1"/>
  <c r="K23" i="1"/>
  <c r="K24" i="1"/>
  <c r="K25" i="1"/>
  <c r="K26" i="1"/>
  <c r="K27" i="1"/>
  <c r="J27" i="1"/>
  <c r="J19" i="1"/>
  <c r="J20" i="1"/>
  <c r="J21" i="1"/>
  <c r="J22" i="1"/>
  <c r="J23" i="1"/>
  <c r="J24" i="1"/>
  <c r="J25" i="1"/>
  <c r="J26" i="1"/>
  <c r="D19" i="1"/>
  <c r="D20" i="1"/>
  <c r="D21" i="1"/>
  <c r="D22" i="1"/>
  <c r="D23" i="1"/>
  <c r="D24" i="1"/>
  <c r="D25" i="1"/>
  <c r="D26" i="1"/>
  <c r="D27" i="1"/>
  <c r="J11" i="1"/>
  <c r="J12" i="1"/>
  <c r="J13" i="1"/>
  <c r="J14" i="1"/>
  <c r="J15" i="1"/>
  <c r="J16" i="1"/>
  <c r="J17" i="1"/>
  <c r="J18" i="1"/>
  <c r="K12" i="1"/>
  <c r="K13" i="1"/>
  <c r="K14" i="1"/>
  <c r="K15" i="1"/>
  <c r="K16" i="1"/>
  <c r="K17" i="1"/>
  <c r="K18" i="1"/>
  <c r="D12" i="1"/>
  <c r="D13" i="1"/>
  <c r="D14" i="1"/>
  <c r="D15" i="1"/>
  <c r="D16" i="1"/>
  <c r="D17" i="1"/>
  <c r="D18" i="1"/>
  <c r="K11" i="1"/>
  <c r="D11" i="1"/>
  <c r="J3" i="1"/>
  <c r="J4" i="1"/>
  <c r="J5" i="1"/>
  <c r="J6" i="1"/>
  <c r="J7" i="1"/>
  <c r="J8" i="1"/>
  <c r="J9" i="1"/>
  <c r="J10" i="1"/>
  <c r="K3" i="1"/>
  <c r="K4" i="1"/>
  <c r="K5" i="1"/>
  <c r="K6" i="1"/>
  <c r="K7" i="1"/>
  <c r="K8" i="1"/>
  <c r="K9" i="1"/>
  <c r="K10" i="1"/>
  <c r="K2" i="1"/>
  <c r="J2" i="1"/>
  <c r="D6" i="1"/>
  <c r="D7" i="1"/>
  <c r="D8" i="1"/>
  <c r="D9" i="1"/>
  <c r="D10" i="1"/>
  <c r="D5" i="1"/>
  <c r="D3" i="1"/>
  <c r="D4" i="1"/>
  <c r="T56" i="1" l="1"/>
  <c r="T49" i="1"/>
  <c r="T39" i="1"/>
  <c r="T32" i="1"/>
  <c r="T24" i="1"/>
  <c r="T15" i="1"/>
  <c r="T7" i="1"/>
  <c r="L7" i="1"/>
  <c r="F7" i="1"/>
  <c r="R2" i="1"/>
  <c r="S2" i="1" s="1"/>
  <c r="O2" i="1"/>
  <c r="O3" i="1"/>
  <c r="R3" i="1"/>
  <c r="S3" i="1" s="1"/>
  <c r="R4" i="1"/>
  <c r="S4" i="1" s="1"/>
  <c r="O4" i="1"/>
  <c r="R5" i="1"/>
  <c r="S5" i="1" s="1"/>
  <c r="O5" i="1"/>
  <c r="R6" i="1"/>
  <c r="S6" i="1" s="1"/>
  <c r="O6" i="1"/>
  <c r="R8" i="1"/>
  <c r="S8" i="1" s="1"/>
  <c r="O8" i="1"/>
  <c r="R9" i="1"/>
  <c r="S9" i="1" s="1"/>
  <c r="O9" i="1"/>
  <c r="R10" i="1"/>
  <c r="S10" i="1" s="1"/>
  <c r="O10" i="1"/>
  <c r="R11" i="1"/>
  <c r="S11" i="1" s="1"/>
  <c r="O11" i="1"/>
  <c r="R12" i="1"/>
  <c r="S12" i="1" s="1"/>
  <c r="O12" i="1"/>
  <c r="R13" i="1"/>
  <c r="S13" i="1" s="1"/>
  <c r="O13" i="1"/>
  <c r="R14" i="1"/>
  <c r="S14" i="1" s="1"/>
  <c r="O14" i="1"/>
  <c r="R15" i="1"/>
  <c r="S15" i="1" s="1"/>
  <c r="O15" i="1"/>
  <c r="R16" i="1"/>
  <c r="S16" i="1" s="1"/>
  <c r="O16" i="1"/>
  <c r="R17" i="1"/>
  <c r="S17" i="1" s="1"/>
  <c r="O17" i="1"/>
  <c r="R18" i="1"/>
  <c r="S18" i="1" s="1"/>
  <c r="O18" i="1"/>
  <c r="R19" i="1"/>
  <c r="S19" i="1" s="1"/>
  <c r="O19" i="1"/>
  <c r="R20" i="1"/>
  <c r="S20" i="1" s="1"/>
  <c r="O20" i="1"/>
  <c r="R21" i="1"/>
  <c r="S21" i="1" s="1"/>
  <c r="O21" i="1"/>
  <c r="R22" i="1"/>
  <c r="S22" i="1" s="1"/>
  <c r="O22" i="1"/>
  <c r="R23" i="1"/>
  <c r="S23" i="1" s="1"/>
  <c r="O23" i="1"/>
  <c r="R24" i="1"/>
  <c r="S24" i="1" s="1"/>
  <c r="O24" i="1"/>
  <c r="R25" i="1"/>
  <c r="S25" i="1" s="1"/>
  <c r="O25" i="1"/>
  <c r="R26" i="1"/>
  <c r="S26" i="1" s="1"/>
  <c r="O26" i="1"/>
  <c r="R27" i="1"/>
  <c r="S27" i="1" s="1"/>
  <c r="O27" i="1"/>
  <c r="R28" i="1"/>
  <c r="S28" i="1" s="1"/>
  <c r="O28" i="1"/>
  <c r="R29" i="1"/>
  <c r="S29" i="1" s="1"/>
  <c r="O29" i="1"/>
  <c r="R30" i="1"/>
  <c r="S30" i="1" s="1"/>
  <c r="O30" i="1"/>
  <c r="R31" i="1"/>
  <c r="S31" i="1" s="1"/>
  <c r="O31" i="1"/>
  <c r="R32" i="1"/>
  <c r="S32" i="1" s="1"/>
  <c r="O32" i="1"/>
  <c r="R33" i="1"/>
  <c r="S33" i="1" s="1"/>
  <c r="O33" i="1"/>
  <c r="R34" i="1"/>
  <c r="S34" i="1" s="1"/>
  <c r="O34" i="1"/>
  <c r="R35" i="1"/>
  <c r="S35" i="1" s="1"/>
  <c r="O35" i="1"/>
  <c r="R36" i="1"/>
  <c r="S36" i="1" s="1"/>
  <c r="O36" i="1"/>
  <c r="R37" i="1"/>
  <c r="S37" i="1" s="1"/>
  <c r="O37" i="1"/>
  <c r="R38" i="1"/>
  <c r="S38" i="1" s="1"/>
  <c r="O38" i="1"/>
  <c r="R39" i="1"/>
  <c r="S39" i="1" s="1"/>
  <c r="O39" i="1"/>
  <c r="R40" i="1"/>
  <c r="S40" i="1" s="1"/>
  <c r="O40" i="1"/>
  <c r="R41" i="1"/>
  <c r="S41" i="1" s="1"/>
  <c r="O41" i="1"/>
  <c r="R42" i="1"/>
  <c r="S42" i="1" s="1"/>
  <c r="O42" i="1"/>
  <c r="R43" i="1"/>
  <c r="S43" i="1" s="1"/>
  <c r="O43" i="1"/>
  <c r="R44" i="1"/>
  <c r="S44" i="1" s="1"/>
  <c r="O44" i="1"/>
  <c r="R45" i="1"/>
  <c r="S45" i="1" s="1"/>
  <c r="O45" i="1"/>
  <c r="R46" i="1"/>
  <c r="S46" i="1" s="1"/>
  <c r="O46" i="1"/>
  <c r="R47" i="1"/>
  <c r="S47" i="1" s="1"/>
  <c r="O47" i="1"/>
  <c r="R48" i="1"/>
  <c r="S48" i="1" s="1"/>
  <c r="O48" i="1"/>
  <c r="R49" i="1"/>
  <c r="S49" i="1" s="1"/>
  <c r="O49" i="1"/>
  <c r="R50" i="1"/>
  <c r="S50" i="1" s="1"/>
  <c r="O50" i="1"/>
  <c r="R51" i="1"/>
  <c r="S51" i="1" s="1"/>
  <c r="O51" i="1"/>
  <c r="R52" i="1"/>
  <c r="S52" i="1" s="1"/>
  <c r="O52" i="1"/>
  <c r="R53" i="1"/>
  <c r="S53" i="1" s="1"/>
  <c r="O53" i="1"/>
  <c r="R54" i="1"/>
  <c r="S54" i="1" s="1"/>
  <c r="O54" i="1"/>
  <c r="R55" i="1"/>
  <c r="S55" i="1" s="1"/>
  <c r="O55" i="1"/>
  <c r="R56" i="1"/>
  <c r="S56" i="1" s="1"/>
  <c r="O56" i="1"/>
  <c r="R57" i="1"/>
  <c r="S57" i="1" s="1"/>
  <c r="O57" i="1"/>
  <c r="R58" i="1"/>
  <c r="S58" i="1" s="1"/>
  <c r="O58" i="1"/>
  <c r="R59" i="1"/>
  <c r="S59" i="1" s="1"/>
  <c r="O59" i="1"/>
  <c r="R60" i="1"/>
  <c r="S60" i="1" s="1"/>
  <c r="O60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O7" i="1"/>
  <c r="R7" i="1"/>
  <c r="S7" i="1" s="1"/>
  <c r="V56" i="1" l="1"/>
  <c r="V49" i="1"/>
  <c r="V39" i="1"/>
  <c r="V32" i="1"/>
  <c r="V24" i="1"/>
  <c r="V15" i="1"/>
  <c r="V7" i="1"/>
</calcChain>
</file>

<file path=xl/sharedStrings.xml><?xml version="1.0" encoding="utf-8"?>
<sst xmlns="http://schemas.openxmlformats.org/spreadsheetml/2006/main" count="431" uniqueCount="75">
  <si>
    <t>Game</t>
  </si>
  <si>
    <t>Name</t>
  </si>
  <si>
    <t>YACgame</t>
  </si>
  <si>
    <t>YACaverageperplaywithcatchgame</t>
  </si>
  <si>
    <t>Yardsaverageperplaywithcatchgame (no yac)</t>
  </si>
  <si>
    <t>YardsCombinedperplaywithcatchgame</t>
  </si>
  <si>
    <t>targetsgame</t>
  </si>
  <si>
    <t>recgame</t>
  </si>
  <si>
    <t>yardsgame</t>
  </si>
  <si>
    <t>totalyardsgame</t>
  </si>
  <si>
    <t>avgyardsperplaywithcatchgame</t>
  </si>
  <si>
    <t>totalavgyardswithcatchandyacgame</t>
  </si>
  <si>
    <t>Gamesplayedwithatleastonetarget</t>
  </si>
  <si>
    <t>YacYardsSeason</t>
  </si>
  <si>
    <t>AverageYacPerGameSeason (not per play per game)</t>
  </si>
  <si>
    <t>TotalYardsSeason(Withoutyac, not per play, but per game)</t>
  </si>
  <si>
    <t>AverageYardsPerGameSeason</t>
  </si>
  <si>
    <t>TotalCombinedYards</t>
  </si>
  <si>
    <t>AverageCombinedTotalYardsPerGameSeason</t>
  </si>
  <si>
    <t>AverageYacYardsPerPlayPerCatchPerGameSeason</t>
  </si>
  <si>
    <t>AverageYardsPerPlayPerCatchPerGameSeason (Without Yac)</t>
  </si>
  <si>
    <t>AverageCombinedYardsPerPlayPerGameSeason</t>
  </si>
  <si>
    <t>Keiser</t>
  </si>
  <si>
    <t>Payton Rose</t>
  </si>
  <si>
    <t>Kobe Smith</t>
  </si>
  <si>
    <t>Jeff Caldwell</t>
  </si>
  <si>
    <t>Spencer Redd</t>
  </si>
  <si>
    <t>Chase Lanckriet</t>
  </si>
  <si>
    <t>Jalen Bethany</t>
  </si>
  <si>
    <t>Andrew Martin</t>
  </si>
  <si>
    <t>Dom McManus</t>
  </si>
  <si>
    <t>Tyus Hanson</t>
  </si>
  <si>
    <t>HBU</t>
  </si>
  <si>
    <t>Robert Giaimo</t>
  </si>
  <si>
    <t>Darrin Fugitt</t>
  </si>
  <si>
    <t>SEMO</t>
  </si>
  <si>
    <t>Abraham Haerr</t>
  </si>
  <si>
    <t>Justin Williams</t>
  </si>
  <si>
    <t>UCA</t>
  </si>
  <si>
    <t>MSU</t>
  </si>
  <si>
    <t>Connor Mazzotta</t>
  </si>
  <si>
    <t>WJC</t>
  </si>
  <si>
    <t>Jared Rhodes</t>
  </si>
  <si>
    <t>Drew Krobath</t>
  </si>
  <si>
    <t>MCK</t>
  </si>
  <si>
    <t>Donovan Marshall</t>
  </si>
  <si>
    <t>Caleb Unwiller</t>
  </si>
  <si>
    <t>AverageYacPerGameSeason</t>
  </si>
  <si>
    <t>Abraham Haerr Total</t>
  </si>
  <si>
    <t>Andrew Martin Total</t>
  </si>
  <si>
    <t>Caleb Unwiller Total</t>
  </si>
  <si>
    <t>Chase Lanckriet Total</t>
  </si>
  <si>
    <t>Connor Mazzotta Total</t>
  </si>
  <si>
    <t>Darrin Fugitt Total</t>
  </si>
  <si>
    <t>Dom McManus Total</t>
  </si>
  <si>
    <t>Donovan Marshall Total</t>
  </si>
  <si>
    <t>Drew Krobath Total</t>
  </si>
  <si>
    <t>Jalen Bethany Total</t>
  </si>
  <si>
    <t>Jared Rhodes Total</t>
  </si>
  <si>
    <t>Jeff Caldwell Total</t>
  </si>
  <si>
    <t>Justin Williams Total</t>
  </si>
  <si>
    <t>Kobe Smith Total</t>
  </si>
  <si>
    <t>Payton Rose Total</t>
  </si>
  <si>
    <t>Robert Giaimo Total</t>
  </si>
  <si>
    <t>Spencer Redd Total</t>
  </si>
  <si>
    <t>Tyus Hanson Total</t>
  </si>
  <si>
    <t>Grand Total</t>
  </si>
  <si>
    <t>Average Yac Yards Per Play Per Catch on the Season</t>
  </si>
  <si>
    <t>Sum of yardsgame</t>
  </si>
  <si>
    <t>Sum of recgame</t>
  </si>
  <si>
    <t>Catches on the Game</t>
  </si>
  <si>
    <t>TotalYards</t>
  </si>
  <si>
    <t>Total</t>
  </si>
  <si>
    <t>Total Combined Yards On The Season</t>
  </si>
  <si>
    <t>Donovan Marshal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</si>
</sst>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2" borderId="1" xfId="0" applyFill="1" applyBorder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2" fillId="5" borderId="1" xfId="0" applyFont="1" applyFill="1" applyBorder="1"/>
    <xf numFmtId="0" fontId="2" fillId="5" borderId="2" xfId="0" applyFont="1" applyFill="1" applyBorder="1"/>
    <xf numFmtId="0" fontId="0" fillId="0" borderId="2" xfId="0" applyBorder="1"/>
    <xf numFmtId="0" fontId="3" fillId="6" borderId="1" xfId="0" applyFont="1" applyFill="1" applyBorder="1"/>
    <xf numFmtId="164" fontId="3" fillId="6" borderId="1" xfId="0" applyNumberFormat="1" applyFont="1" applyFill="1" applyBorder="1"/>
    <xf numFmtId="0" fontId="4" fillId="2" borderId="1" xfId="0" applyFont="1" applyFill="1" applyBorder="1"/>
    <xf numFmtId="0" fontId="0" fillId="7" borderId="1" xfId="0" applyFill="1" applyBorder="1"/>
    <xf numFmtId="164" fontId="0" fillId="0" borderId="1" xfId="0" applyNumberFormat="1" applyBorder="1"/>
    <xf numFmtId="0" fontId="1" fillId="0" borderId="1" xfId="0" quotePrefix="1" applyFont="1" applyBorder="1"/>
    <xf numFmtId="0" fontId="0" fillId="8" borderId="1" xfId="0" applyFill="1" applyBorder="1"/>
    <xf numFmtId="0" fontId="0" fillId="9" borderId="1" xfId="0" applyFill="1" applyBorder="1"/>
    <xf numFmtId="0" fontId="3" fillId="10" borderId="1" xfId="0" applyFont="1" applyFill="1" applyBorder="1"/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AverageYacPerGamePerCatchSeason!$G$3</c:f>
              <c:strCache>
                <c:ptCount val="1"/>
                <c:pt idx="0">
                  <c:v>AverageYacPerGameSeason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AverageYacPerGamePerCatchSeason!$F$4:$F$21</c:f>
              <c:strCache>
                <c:ptCount val="18"/>
                <c:pt idx="0">
                  <c:v>Abraham Haerr</c:v>
                </c:pt>
                <c:pt idx="1">
                  <c:v>Andrew Martin</c:v>
                </c:pt>
                <c:pt idx="2">
                  <c:v>Caleb Unwiller</c:v>
                </c:pt>
                <c:pt idx="3">
                  <c:v>Chase Lanckriet</c:v>
                </c:pt>
                <c:pt idx="4">
                  <c:v>Connor Mazzotta</c:v>
                </c:pt>
                <c:pt idx="5">
                  <c:v>Darrin Fugitt</c:v>
                </c:pt>
                <c:pt idx="6">
                  <c:v>Dom McManus</c:v>
                </c:pt>
                <c:pt idx="7">
                  <c:v>Donovan Marshall</c:v>
                </c:pt>
                <c:pt idx="8">
                  <c:v>Drew Krobath</c:v>
                </c:pt>
                <c:pt idx="9">
                  <c:v>Jalen Bethany</c:v>
                </c:pt>
                <c:pt idx="10">
                  <c:v>Jared Rhodes</c:v>
                </c:pt>
                <c:pt idx="11">
                  <c:v>Jeff Caldwell</c:v>
                </c:pt>
                <c:pt idx="12">
                  <c:v>Justin Williams</c:v>
                </c:pt>
                <c:pt idx="13">
                  <c:v>Kobe Smith</c:v>
                </c:pt>
                <c:pt idx="14">
                  <c:v>Payton Rose</c:v>
                </c:pt>
                <c:pt idx="15">
                  <c:v>Robert Giaimo</c:v>
                </c:pt>
                <c:pt idx="16">
                  <c:v>Spencer Redd</c:v>
                </c:pt>
                <c:pt idx="17">
                  <c:v>Tyus Hanson</c:v>
                </c:pt>
              </c:strCache>
            </c:strRef>
          </c:cat>
          <c:val>
            <c:numRef>
              <c:f>AverageYacPerGamePerCatchSeason!$G$4:$G$21</c:f>
              <c:numCache>
                <c:formatCode>General</c:formatCode>
                <c:ptCount val="18"/>
                <c:pt idx="0">
                  <c:v>2</c:v>
                </c:pt>
                <c:pt idx="1">
                  <c:v>20.666666666666668</c:v>
                </c:pt>
                <c:pt idx="2">
                  <c:v>0</c:v>
                </c:pt>
                <c:pt idx="3">
                  <c:v>13.833333333333334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23</c:v>
                </c:pt>
                <c:pt idx="8">
                  <c:v>0</c:v>
                </c:pt>
                <c:pt idx="9">
                  <c:v>4.1428571428571432</c:v>
                </c:pt>
                <c:pt idx="10">
                  <c:v>12</c:v>
                </c:pt>
                <c:pt idx="11">
                  <c:v>0.75</c:v>
                </c:pt>
                <c:pt idx="12">
                  <c:v>16.5</c:v>
                </c:pt>
                <c:pt idx="13">
                  <c:v>34.142857142857146</c:v>
                </c:pt>
                <c:pt idx="14">
                  <c:v>15.714285714285714</c:v>
                </c:pt>
                <c:pt idx="15">
                  <c:v>0</c:v>
                </c:pt>
                <c:pt idx="16">
                  <c:v>7.5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53-4489-8CAE-4633E5202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480951"/>
        <c:axId val="1029056647"/>
      </c:barChart>
      <c:catAx>
        <c:axId val="494480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Players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056647"/>
        <c:crosses val="autoZero"/>
        <c:auto val="1"/>
        <c:lblAlgn val="ctr"/>
        <c:lblOffset val="100"/>
        <c:noMultiLvlLbl val="0"/>
      </c:catAx>
      <c:valAx>
        <c:axId val="1029056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Average Amount of Yac Per Game (Yards)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480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Percentages per game on the season where yac is coming from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AverageYacPerGamePerCatchSeason!$G$3</c:f>
              <c:strCache>
                <c:ptCount val="1"/>
                <c:pt idx="0">
                  <c:v>AverageYacPerGameSeason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D4-4EEE-900A-A1257201D3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D4-4EEE-900A-A1257201D3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D4-4EEE-900A-A1257201D3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D4-4EEE-900A-A1257201D3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D4-4EEE-900A-A1257201D36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CD4-4EEE-900A-A1257201D3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CD4-4EEE-900A-A1257201D3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CD4-4EEE-900A-A1257201D3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CD4-4EEE-900A-A1257201D3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CD4-4EEE-900A-A1257201D3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CD4-4EEE-900A-A1257201D3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CD4-4EEE-900A-A1257201D3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CD4-4EEE-900A-A1257201D3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CD4-4EEE-900A-A1257201D3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CD4-4EEE-900A-A1257201D36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CD4-4EEE-900A-A1257201D36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CD4-4EEE-900A-A1257201D36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CD4-4EEE-900A-A1257201D3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AverageYacPerGamePerCatchSeason!$F$4:$F$21</c:f>
              <c:strCache>
                <c:ptCount val="18"/>
                <c:pt idx="0">
                  <c:v>Abraham Haerr</c:v>
                </c:pt>
                <c:pt idx="1">
                  <c:v>Andrew Martin</c:v>
                </c:pt>
                <c:pt idx="2">
                  <c:v>Caleb Unwiller</c:v>
                </c:pt>
                <c:pt idx="3">
                  <c:v>Chase Lanckriet</c:v>
                </c:pt>
                <c:pt idx="4">
                  <c:v>Connor Mazzotta</c:v>
                </c:pt>
                <c:pt idx="5">
                  <c:v>Darrin Fugitt</c:v>
                </c:pt>
                <c:pt idx="6">
                  <c:v>Dom McManus</c:v>
                </c:pt>
                <c:pt idx="7">
                  <c:v>Donovan Marshall</c:v>
                </c:pt>
                <c:pt idx="8">
                  <c:v>Drew Krobath</c:v>
                </c:pt>
                <c:pt idx="9">
                  <c:v>Jalen Bethany</c:v>
                </c:pt>
                <c:pt idx="10">
                  <c:v>Jared Rhodes</c:v>
                </c:pt>
                <c:pt idx="11">
                  <c:v>Jeff Caldwell</c:v>
                </c:pt>
                <c:pt idx="12">
                  <c:v>Justin Williams</c:v>
                </c:pt>
                <c:pt idx="13">
                  <c:v>Kobe Smith</c:v>
                </c:pt>
                <c:pt idx="14">
                  <c:v>Payton Rose</c:v>
                </c:pt>
                <c:pt idx="15">
                  <c:v>Robert Giaimo</c:v>
                </c:pt>
                <c:pt idx="16">
                  <c:v>Spencer Redd</c:v>
                </c:pt>
                <c:pt idx="17">
                  <c:v>Tyus Hanson</c:v>
                </c:pt>
              </c:strCache>
            </c:strRef>
          </c:cat>
          <c:val>
            <c:numRef>
              <c:f>AverageYacPerGamePerCatchSeason!$G$4:$G$21</c:f>
              <c:numCache>
                <c:formatCode>General</c:formatCode>
                <c:ptCount val="18"/>
                <c:pt idx="0">
                  <c:v>2</c:v>
                </c:pt>
                <c:pt idx="1">
                  <c:v>20.666666666666668</c:v>
                </c:pt>
                <c:pt idx="2">
                  <c:v>0</c:v>
                </c:pt>
                <c:pt idx="3">
                  <c:v>13.833333333333334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23</c:v>
                </c:pt>
                <c:pt idx="8">
                  <c:v>0</c:v>
                </c:pt>
                <c:pt idx="9">
                  <c:v>4.1428571428571432</c:v>
                </c:pt>
                <c:pt idx="10">
                  <c:v>12</c:v>
                </c:pt>
                <c:pt idx="11">
                  <c:v>0.75</c:v>
                </c:pt>
                <c:pt idx="12">
                  <c:v>16.5</c:v>
                </c:pt>
                <c:pt idx="13">
                  <c:v>34.142857142857146</c:v>
                </c:pt>
                <c:pt idx="14">
                  <c:v>15.714285714285714</c:v>
                </c:pt>
                <c:pt idx="15">
                  <c:v>0</c:v>
                </c:pt>
                <c:pt idx="16">
                  <c:v>7.5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ED-46A4-8EA2-A89B24E80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AverageYacPerPlayPerCatchSeason!$F$2</c:f>
              <c:strCache>
                <c:ptCount val="1"/>
                <c:pt idx="0">
                  <c:v>Average Yac Yards Per Play Per Catch on the Season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AverageYacPerPlayPerCatchSeason!$E$3:$E$20</c:f>
              <c:strCache>
                <c:ptCount val="18"/>
                <c:pt idx="0">
                  <c:v>Abraham Haerr</c:v>
                </c:pt>
                <c:pt idx="1">
                  <c:v>Andrew Martin</c:v>
                </c:pt>
                <c:pt idx="2">
                  <c:v>Caleb Unwiller</c:v>
                </c:pt>
                <c:pt idx="3">
                  <c:v>Chase Lanckriet</c:v>
                </c:pt>
                <c:pt idx="4">
                  <c:v>Connor Mazzotta</c:v>
                </c:pt>
                <c:pt idx="5">
                  <c:v>Darrin Fugitt</c:v>
                </c:pt>
                <c:pt idx="6">
                  <c:v>Dom McManus</c:v>
                </c:pt>
                <c:pt idx="7">
                  <c:v>Donovan Marshall</c:v>
                </c:pt>
                <c:pt idx="8">
                  <c:v>Drew Krobath</c:v>
                </c:pt>
                <c:pt idx="9">
                  <c:v>Jalen Bethany</c:v>
                </c:pt>
                <c:pt idx="10">
                  <c:v>Jared Rhodes</c:v>
                </c:pt>
                <c:pt idx="11">
                  <c:v>Jeff Caldwell</c:v>
                </c:pt>
                <c:pt idx="12">
                  <c:v>Justin Williams</c:v>
                </c:pt>
                <c:pt idx="13">
                  <c:v>Kobe Smith</c:v>
                </c:pt>
                <c:pt idx="14">
                  <c:v>Payton Rose</c:v>
                </c:pt>
                <c:pt idx="15">
                  <c:v>Robert Giaimo</c:v>
                </c:pt>
                <c:pt idx="16">
                  <c:v>Spencer Redd</c:v>
                </c:pt>
                <c:pt idx="17">
                  <c:v>Tyus Hanson</c:v>
                </c:pt>
              </c:strCache>
            </c:strRef>
          </c:cat>
          <c:val>
            <c:numRef>
              <c:f>AverageYacPerPlayPerCatchSeason!$F$3:$F$20</c:f>
              <c:numCache>
                <c:formatCode>General</c:formatCode>
                <c:ptCount val="18"/>
                <c:pt idx="0">
                  <c:v>0.66666666666666663</c:v>
                </c:pt>
                <c:pt idx="1">
                  <c:v>8.5916666666666668</c:v>
                </c:pt>
                <c:pt idx="2">
                  <c:v>0</c:v>
                </c:pt>
                <c:pt idx="3">
                  <c:v>3.0333333333333332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7.666666666666667</c:v>
                </c:pt>
                <c:pt idx="8">
                  <c:v>0</c:v>
                </c:pt>
                <c:pt idx="9">
                  <c:v>2.0476190476190479</c:v>
                </c:pt>
                <c:pt idx="10">
                  <c:v>4</c:v>
                </c:pt>
                <c:pt idx="11">
                  <c:v>0.25</c:v>
                </c:pt>
                <c:pt idx="12">
                  <c:v>16.5</c:v>
                </c:pt>
                <c:pt idx="13">
                  <c:v>6.9095238095238107</c:v>
                </c:pt>
                <c:pt idx="14">
                  <c:v>2.9843537414965984</c:v>
                </c:pt>
                <c:pt idx="15">
                  <c:v>0</c:v>
                </c:pt>
                <c:pt idx="16">
                  <c:v>3.7333333333333329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EB-495C-8A7B-DBC2C4F4D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201815"/>
        <c:axId val="447315047"/>
      </c:barChart>
      <c:catAx>
        <c:axId val="2018201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315047"/>
        <c:crosses val="autoZero"/>
        <c:auto val="1"/>
        <c:lblAlgn val="ctr"/>
        <c:lblOffset val="100"/>
        <c:noMultiLvlLbl val="0"/>
      </c:catAx>
      <c:valAx>
        <c:axId val="447315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Yards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201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AverageYacPerPlayPerCatchSeason!$F$2</c:f>
              <c:strCache>
                <c:ptCount val="1"/>
                <c:pt idx="0">
                  <c:v>Average Yac Yards Per Play Per Catch on the Season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D3-4F95-95C1-FA316252C0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D3-4F95-95C1-FA316252C0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D3-4F95-95C1-FA316252C0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D3-4F95-95C1-FA316252C0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D3-4F95-95C1-FA316252C0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2D3-4F95-95C1-FA316252C0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2D3-4F95-95C1-FA316252C0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2D3-4F95-95C1-FA316252C0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2D3-4F95-95C1-FA316252C0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2D3-4F95-95C1-FA316252C0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2D3-4F95-95C1-FA316252C0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2D3-4F95-95C1-FA316252C0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2D3-4F95-95C1-FA316252C0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2D3-4F95-95C1-FA316252C0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2D3-4F95-95C1-FA316252C0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2D3-4F95-95C1-FA316252C0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2D3-4F95-95C1-FA316252C0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2D3-4F95-95C1-FA316252C0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AverageYacPerPlayPerCatchSeason!$E$3:$E$20</c:f>
              <c:strCache>
                <c:ptCount val="18"/>
                <c:pt idx="0">
                  <c:v>Abraham Haerr</c:v>
                </c:pt>
                <c:pt idx="1">
                  <c:v>Andrew Martin</c:v>
                </c:pt>
                <c:pt idx="2">
                  <c:v>Caleb Unwiller</c:v>
                </c:pt>
                <c:pt idx="3">
                  <c:v>Chase Lanckriet</c:v>
                </c:pt>
                <c:pt idx="4">
                  <c:v>Connor Mazzotta</c:v>
                </c:pt>
                <c:pt idx="5">
                  <c:v>Darrin Fugitt</c:v>
                </c:pt>
                <c:pt idx="6">
                  <c:v>Dom McManus</c:v>
                </c:pt>
                <c:pt idx="7">
                  <c:v>Donovan Marshall</c:v>
                </c:pt>
                <c:pt idx="8">
                  <c:v>Drew Krobath</c:v>
                </c:pt>
                <c:pt idx="9">
                  <c:v>Jalen Bethany</c:v>
                </c:pt>
                <c:pt idx="10">
                  <c:v>Jared Rhodes</c:v>
                </c:pt>
                <c:pt idx="11">
                  <c:v>Jeff Caldwell</c:v>
                </c:pt>
                <c:pt idx="12">
                  <c:v>Justin Williams</c:v>
                </c:pt>
                <c:pt idx="13">
                  <c:v>Kobe Smith</c:v>
                </c:pt>
                <c:pt idx="14">
                  <c:v>Payton Rose</c:v>
                </c:pt>
                <c:pt idx="15">
                  <c:v>Robert Giaimo</c:v>
                </c:pt>
                <c:pt idx="16">
                  <c:v>Spencer Redd</c:v>
                </c:pt>
                <c:pt idx="17">
                  <c:v>Tyus Hanson</c:v>
                </c:pt>
              </c:strCache>
            </c:strRef>
          </c:cat>
          <c:val>
            <c:numRef>
              <c:f>AverageYacPerPlayPerCatchSeason!$F$3:$F$20</c:f>
              <c:numCache>
                <c:formatCode>General</c:formatCode>
                <c:ptCount val="18"/>
                <c:pt idx="0">
                  <c:v>0.66666666666666663</c:v>
                </c:pt>
                <c:pt idx="1">
                  <c:v>8.5916666666666668</c:v>
                </c:pt>
                <c:pt idx="2">
                  <c:v>0</c:v>
                </c:pt>
                <c:pt idx="3">
                  <c:v>3.0333333333333332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7.666666666666667</c:v>
                </c:pt>
                <c:pt idx="8">
                  <c:v>0</c:v>
                </c:pt>
                <c:pt idx="9">
                  <c:v>2.0476190476190479</c:v>
                </c:pt>
                <c:pt idx="10">
                  <c:v>4</c:v>
                </c:pt>
                <c:pt idx="11">
                  <c:v>0.25</c:v>
                </c:pt>
                <c:pt idx="12">
                  <c:v>16.5</c:v>
                </c:pt>
                <c:pt idx="13">
                  <c:v>6.9095238095238107</c:v>
                </c:pt>
                <c:pt idx="14">
                  <c:v>2.9843537414965984</c:v>
                </c:pt>
                <c:pt idx="15">
                  <c:v>0</c:v>
                </c:pt>
                <c:pt idx="16">
                  <c:v>3.7333333333333329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45-4A0C-BDA4-CF41EC1BA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Yards for each game throughout the season for Payton Rose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TotalYardseachgameRegressionalA!$N$2</c:f>
              <c:strCache>
                <c:ptCount val="1"/>
                <c:pt idx="0">
                  <c:v>TotalYards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TotalYardseachgameRegressionalA!$M$3:$M$9</c:f>
              <c:strCache>
                <c:ptCount val="7"/>
                <c:pt idx="0">
                  <c:v>HBU</c:v>
                </c:pt>
                <c:pt idx="1">
                  <c:v>Keiser</c:v>
                </c:pt>
                <c:pt idx="2">
                  <c:v>MCK</c:v>
                </c:pt>
                <c:pt idx="3">
                  <c:v>MSU</c:v>
                </c:pt>
                <c:pt idx="4">
                  <c:v>SEMO</c:v>
                </c:pt>
                <c:pt idx="5">
                  <c:v>UCA</c:v>
                </c:pt>
                <c:pt idx="6">
                  <c:v>WJC</c:v>
                </c:pt>
              </c:strCache>
            </c:strRef>
          </c:cat>
          <c:val>
            <c:numRef>
              <c:f>TotalYardseachgameRegressionalA!$N$3:$N$9</c:f>
              <c:numCache>
                <c:formatCode>General</c:formatCode>
                <c:ptCount val="7"/>
                <c:pt idx="0">
                  <c:v>33</c:v>
                </c:pt>
                <c:pt idx="1">
                  <c:v>180</c:v>
                </c:pt>
                <c:pt idx="2">
                  <c:v>131</c:v>
                </c:pt>
                <c:pt idx="3">
                  <c:v>111</c:v>
                </c:pt>
                <c:pt idx="4">
                  <c:v>67</c:v>
                </c:pt>
                <c:pt idx="5">
                  <c:v>103</c:v>
                </c:pt>
                <c:pt idx="6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BA-4D38-8DBD-364ABCCC7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025591"/>
        <c:axId val="459814199"/>
      </c:lineChart>
      <c:catAx>
        <c:axId val="249025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814199"/>
        <c:crosses val="autoZero"/>
        <c:auto val="1"/>
        <c:lblAlgn val="ctr"/>
        <c:lblOffset val="100"/>
        <c:noMultiLvlLbl val="0"/>
      </c:catAx>
      <c:valAx>
        <c:axId val="459814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TotalYardsOnTheGame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0255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TotalYards for Payton Rose for each game based on Catches on the Game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TotalYardseachgameRegressionalA!$N$2</c:f>
              <c:strCache>
                <c:ptCount val="1"/>
                <c:pt idx="0">
                  <c:v>TotalYards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92D05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Regression Line</c:name>
            <c:spPr>
              <a:ln w="19050" cap="rnd">
                <a:solidFill>
                  <a:srgbClr val="0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393919510061245E-2"/>
                  <c:y val="-0.120699183435403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multiLvlStrRef>
              <c:f>TotalYardseachgameRegressionalA!$L$3:$M$9</c:f>
              <c:multiLvlStrCache>
                <c:ptCount val="7"/>
                <c:lvl>
                  <c:pt idx="0">
                    <c:v>HBU</c:v>
                  </c:pt>
                  <c:pt idx="1">
                    <c:v>Keiser</c:v>
                  </c:pt>
                  <c:pt idx="2">
                    <c:v>MCK</c:v>
                  </c:pt>
                  <c:pt idx="3">
                    <c:v>MSU</c:v>
                  </c:pt>
                  <c:pt idx="4">
                    <c:v>SEMO</c:v>
                  </c:pt>
                  <c:pt idx="5">
                    <c:v>UCA</c:v>
                  </c:pt>
                  <c:pt idx="6">
                    <c:v>WJC</c:v>
                  </c:pt>
                </c:lvl>
                <c:lvl>
                  <c:pt idx="0">
                    <c:v>3</c:v>
                  </c:pt>
                  <c:pt idx="1">
                    <c:v>7</c:v>
                  </c:pt>
                  <c:pt idx="2">
                    <c:v>10</c:v>
                  </c:pt>
                  <c:pt idx="3">
                    <c:v>3</c:v>
                  </c:pt>
                  <c:pt idx="4">
                    <c:v>6</c:v>
                  </c:pt>
                  <c:pt idx="5">
                    <c:v>5</c:v>
                  </c:pt>
                  <c:pt idx="6">
                    <c:v>9</c:v>
                  </c:pt>
                </c:lvl>
              </c:multiLvlStrCache>
            </c:multiLvlStrRef>
          </c:xVal>
          <c:yVal>
            <c:numRef>
              <c:f>TotalYardseachgameRegressionalA!$N$3:$N$9</c:f>
              <c:numCache>
                <c:formatCode>General</c:formatCode>
                <c:ptCount val="7"/>
                <c:pt idx="0">
                  <c:v>33</c:v>
                </c:pt>
                <c:pt idx="1">
                  <c:v>180</c:v>
                </c:pt>
                <c:pt idx="2">
                  <c:v>131</c:v>
                </c:pt>
                <c:pt idx="3">
                  <c:v>111</c:v>
                </c:pt>
                <c:pt idx="4">
                  <c:v>67</c:v>
                </c:pt>
                <c:pt idx="5">
                  <c:v>103</c:v>
                </c:pt>
                <c:pt idx="6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BE-4C39-A636-324361B92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54775"/>
        <c:axId val="1773285591"/>
      </c:scatterChart>
      <c:valAx>
        <c:axId val="204754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Catches on the Game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285591"/>
        <c:crosses val="autoZero"/>
        <c:crossBetween val="midCat"/>
      </c:valAx>
      <c:valAx>
        <c:axId val="1773285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Yards On The Game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54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TotalCombinedYardsOnTheSeason!$F$2</c:f>
              <c:strCache>
                <c:ptCount val="1"/>
                <c:pt idx="0">
                  <c:v>Total Combined Yards On The Season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E2-4A47-BF12-0F8059BFD2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E2-4A47-BF12-0F8059BFD2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E2-4A47-BF12-0F8059BFD2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E2-4A47-BF12-0F8059BFD2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E2-4A47-BF12-0F8059BFD2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CE2-4A47-BF12-0F8059BFD2F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CE2-4A47-BF12-0F8059BFD2F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CE2-4A47-BF12-0F8059BFD2F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CE2-4A47-BF12-0F8059BFD2F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CE2-4A47-BF12-0F8059BFD2F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CE2-4A47-BF12-0F8059BFD2F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CE2-4A47-BF12-0F8059BFD2F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CE2-4A47-BF12-0F8059BFD2F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CE2-4A47-BF12-0F8059BFD2F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CE2-4A47-BF12-0F8059BFD2F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CE2-4A47-BF12-0F8059BFD2F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CE2-4A47-BF12-0F8059BFD2F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CE2-4A47-BF12-0F8059BFD2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TotalCombinedYardsOnTheSeason!$E$3:$E$20</c:f>
              <c:strCache>
                <c:ptCount val="18"/>
                <c:pt idx="0">
                  <c:v>Abraham Haerr</c:v>
                </c:pt>
                <c:pt idx="1">
                  <c:v>Andrew Martin</c:v>
                </c:pt>
                <c:pt idx="2">
                  <c:v>Caleb Unwiller</c:v>
                </c:pt>
                <c:pt idx="3">
                  <c:v>Chase Lanckriet</c:v>
                </c:pt>
                <c:pt idx="4">
                  <c:v>Connor Mazzotta</c:v>
                </c:pt>
                <c:pt idx="5">
                  <c:v>Darrin Fugitt</c:v>
                </c:pt>
                <c:pt idx="6">
                  <c:v>Dom McManus</c:v>
                </c:pt>
                <c:pt idx="7">
                  <c:v>Donovan Marshal</c:v>
                </c:pt>
                <c:pt idx="8">
                  <c:v>Drew Krobath</c:v>
                </c:pt>
                <c:pt idx="9">
                  <c:v>Jalen Bethany</c:v>
                </c:pt>
                <c:pt idx="10">
                  <c:v>Jared Rhodes</c:v>
                </c:pt>
                <c:pt idx="11">
                  <c:v>Jeff Caldwell</c:v>
                </c:pt>
                <c:pt idx="12">
                  <c:v>Justin Williams</c:v>
                </c:pt>
                <c:pt idx="13">
                  <c:v>Kobe Smith</c:v>
                </c:pt>
                <c:pt idx="14">
                  <c:v>Payton Rose</c:v>
                </c:pt>
                <c:pt idx="15">
                  <c:v>Robert Giaimo</c:v>
                </c:pt>
                <c:pt idx="16">
                  <c:v>Spencer Redd</c:v>
                </c:pt>
                <c:pt idx="17">
                  <c:v>Tyus Hanson</c:v>
                </c:pt>
              </c:strCache>
            </c:strRef>
          </c:cat>
          <c:val>
            <c:numRef>
              <c:f>TotalCombinedYardsOnTheSeason!$F$3:$F$20</c:f>
              <c:numCache>
                <c:formatCode>General</c:formatCode>
                <c:ptCount val="18"/>
                <c:pt idx="0">
                  <c:v>22</c:v>
                </c:pt>
                <c:pt idx="1">
                  <c:v>265</c:v>
                </c:pt>
                <c:pt idx="2">
                  <c:v>6</c:v>
                </c:pt>
                <c:pt idx="3">
                  <c:v>314</c:v>
                </c:pt>
                <c:pt idx="4">
                  <c:v>0</c:v>
                </c:pt>
                <c:pt idx="5">
                  <c:v>0</c:v>
                </c:pt>
                <c:pt idx="6">
                  <c:v>26</c:v>
                </c:pt>
                <c:pt idx="7">
                  <c:v>51</c:v>
                </c:pt>
                <c:pt idx="8">
                  <c:v>29</c:v>
                </c:pt>
                <c:pt idx="9">
                  <c:v>210</c:v>
                </c:pt>
                <c:pt idx="10">
                  <c:v>38</c:v>
                </c:pt>
                <c:pt idx="11">
                  <c:v>138</c:v>
                </c:pt>
                <c:pt idx="12">
                  <c:v>74</c:v>
                </c:pt>
                <c:pt idx="13">
                  <c:v>760</c:v>
                </c:pt>
                <c:pt idx="14">
                  <c:v>935</c:v>
                </c:pt>
                <c:pt idx="15">
                  <c:v>2</c:v>
                </c:pt>
                <c:pt idx="16">
                  <c:v>166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48-4200-92C8-DA5B9C31E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638175</xdr:colOff>
      <xdr:row>44</xdr:row>
      <xdr:rowOff>85725</xdr:rowOff>
    </xdr:from>
    <xdr:to>
      <xdr:col>26</xdr:col>
      <xdr:colOff>209550</xdr:colOff>
      <xdr:row>65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3E2247-3C14-3728-B3A7-A59F88780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14</xdr:col>
      <xdr:colOff>76200</xdr:colOff>
      <xdr:row>44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B1963E-EDB5-CA6C-E5C5-6DCB2086EE8F}"/>
            </a:ext>
            <a:ext uri="{147F2762-F138-4A5C-976F-8EAC2B608ADB}">
              <a16:predDERef xmlns:a16="http://schemas.microsoft.com/office/drawing/2014/main" pred="{043E2247-3C14-3728-B3A7-A59F88780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</xdr:row>
      <xdr:rowOff>0</xdr:rowOff>
    </xdr:from>
    <xdr:to>
      <xdr:col>15</xdr:col>
      <xdr:colOff>542925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295A0-96D0-653C-7561-CE6F78D81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342900</xdr:colOff>
      <xdr:row>0</xdr:row>
      <xdr:rowOff>133350</xdr:rowOff>
    </xdr:from>
    <xdr:to>
      <xdr:col>33</xdr:col>
      <xdr:colOff>600075</xdr:colOff>
      <xdr:row>31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86EB0F-AE11-D1B9-E05F-CA314B589412}"/>
            </a:ext>
            <a:ext uri="{147F2762-F138-4A5C-976F-8EAC2B608ADB}">
              <a16:predDERef xmlns:a16="http://schemas.microsoft.com/office/drawing/2014/main" pred="{F3E295A0-96D0-653C-7561-CE6F78D81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1</xdr:row>
      <xdr:rowOff>47625</xdr:rowOff>
    </xdr:from>
    <xdr:to>
      <xdr:col>35</xdr:col>
      <xdr:colOff>114300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E25FE0-842C-A783-06B3-692B846FD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66675</xdr:colOff>
      <xdr:row>16</xdr:row>
      <xdr:rowOff>180975</xdr:rowOff>
    </xdr:from>
    <xdr:to>
      <xdr:col>17</xdr:col>
      <xdr:colOff>142875</xdr:colOff>
      <xdr:row>31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BA7BAE-285B-728A-D290-C496B03613C5}"/>
            </a:ext>
            <a:ext uri="{147F2762-F138-4A5C-976F-8EAC2B608ADB}">
              <a16:predDERef xmlns:a16="http://schemas.microsoft.com/office/drawing/2014/main" pred="{82E25FE0-842C-A783-06B3-692B846FD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1</xdr:row>
      <xdr:rowOff>133350</xdr:rowOff>
    </xdr:from>
    <xdr:to>
      <xdr:col>27</xdr:col>
      <xdr:colOff>57150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EE9A1A-2297-D191-589C-1BD929686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948.936454050927" createdVersion="8" refreshedVersion="8" minRefreshableVersion="3" recordCount="59" xr:uid="{4F05CFDE-5652-4E90-8C0F-B6A581B4D02A}">
  <cacheSource type="worksheet">
    <worksheetSource ref="A1:S60" sheet="Original data"/>
  </cacheSource>
  <cacheFields count="17">
    <cacheField name="Game" numFmtId="0">
      <sharedItems/>
    </cacheField>
    <cacheField name="Name" numFmtId="0">
      <sharedItems count="18">
        <s v="Payton Rose"/>
        <s v="Kobe Smith"/>
        <s v="Jeff Caldwell"/>
        <s v="Spencer Redd"/>
        <s v="Chase Lanckriet"/>
        <s v="Jalen Bethany"/>
        <s v="Andrew Martin"/>
        <s v="Dom McManus"/>
        <s v="Tyus Hanson"/>
        <s v="Robert Giaimo"/>
        <s v="Darrin Fugitt"/>
        <s v="Abraham Haerr"/>
        <s v="Justin Williams"/>
        <s v="Connor Mazzotta"/>
        <s v="Jared Rhodes"/>
        <s v="Drew Krobath"/>
        <s v="Donovan Marshall"/>
        <s v="Caleb Unwiller"/>
      </sharedItems>
    </cacheField>
    <cacheField name="YACgame" numFmtId="0">
      <sharedItems containsSemiMixedTypes="0" containsString="0" containsNumber="1" containsInteger="1" minValue="0" maxValue="65"/>
    </cacheField>
    <cacheField name="YACaverageperplaywithcatchgame" numFmtId="164">
      <sharedItems containsSemiMixedTypes="0" containsString="0" containsNumber="1" minValue="0" maxValue="25"/>
    </cacheField>
    <cacheField name="targetsgame" numFmtId="0">
      <sharedItems containsSemiMixedTypes="0" containsString="0" containsNumber="1" containsInteger="1" minValue="0" maxValue="13"/>
    </cacheField>
    <cacheField name="recgame" numFmtId="0">
      <sharedItems containsSemiMixedTypes="0" containsString="0" containsNumber="1" containsInteger="1" minValue="0" maxValue="10"/>
    </cacheField>
    <cacheField name="yardsgame" numFmtId="0">
      <sharedItems containsSemiMixedTypes="0" containsString="0" containsNumber="1" containsInteger="1" minValue="0" maxValue="200"/>
    </cacheField>
    <cacheField name="totalyardsgame" numFmtId="0">
      <sharedItems containsSemiMixedTypes="0" containsString="0" containsNumber="1" containsInteger="1" minValue="0" maxValue="209"/>
    </cacheField>
    <cacheField name="avgyardsperplaywithcatchgame" numFmtId="0">
      <sharedItems containsSemiMixedTypes="0" containsString="0" containsNumber="1" minValue="0" maxValue="37"/>
    </cacheField>
    <cacheField name="totalavgyardsperplaywithcatchandyac" numFmtId="0">
      <sharedItems containsSemiMixedTypes="0" containsString="0" containsNumber="1" minValue="0" maxValue="27"/>
    </cacheField>
    <cacheField name="Gamesplayedwithatleastonetarget" numFmtId="0">
      <sharedItems containsSemiMixedTypes="0" containsString="0" containsNumber="1" containsInteger="1" minValue="1" maxValue="7"/>
    </cacheField>
    <cacheField name="YacSeason" numFmtId="0">
      <sharedItems containsSemiMixedTypes="0" containsString="0" containsNumber="1" containsInteger="1" minValue="0" maxValue="239"/>
    </cacheField>
    <cacheField name="AverageYacPerGameSeason" numFmtId="0">
      <sharedItems containsSemiMixedTypes="0" containsString="0" containsNumber="1" minValue="0" maxValue="34.142857142857146" count="13">
        <n v="15.714285714285714"/>
        <n v="34.142857142857146"/>
        <n v="0.75"/>
        <n v="7.5"/>
        <n v="13.833333333333334"/>
        <n v="9.2857142857142865"/>
        <n v="20.666666666666668"/>
        <n v="2"/>
        <n v="0"/>
        <n v="4.1428571428571432"/>
        <n v="16.5"/>
        <n v="12"/>
        <n v="23"/>
      </sharedItems>
    </cacheField>
    <cacheField name="YardsSeason(Withoutyac)" numFmtId="0">
      <sharedItems containsSemiMixedTypes="0" containsString="0" containsNumber="1" containsInteger="1" minValue="0" maxValue="825"/>
    </cacheField>
    <cacheField name="AverageYardsPerGameSeason" numFmtId="0">
      <sharedItems containsSemiMixedTypes="0" containsString="0" containsNumber="1" minValue="0" maxValue="117.85714285714286"/>
    </cacheField>
    <cacheField name="TotalCombinedYards" numFmtId="0">
      <sharedItems containsSemiMixedTypes="0" containsString="0" containsNumber="1" containsInteger="1" minValue="0" maxValue="935"/>
    </cacheField>
    <cacheField name="AverageCombinedTotalYardsPerGameSeason" numFmtId="0">
      <sharedItems containsSemiMixedTypes="0" containsString="0" containsNumber="1" minValue="0" maxValue="133.571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955.96664791667" createdVersion="8" refreshedVersion="8" minRefreshableVersion="3" recordCount="59" xr:uid="{32972C40-50F0-4A03-931A-44A5BE505449}">
  <cacheSource type="worksheet">
    <worksheetSource ref="A1:V60" sheet="Original data"/>
  </cacheSource>
  <cacheFields count="22">
    <cacheField name="Game" numFmtId="0">
      <sharedItems count="7">
        <s v="Keiser"/>
        <s v="HBU"/>
        <s v="SEMO"/>
        <s v="UCA"/>
        <s v="MSU"/>
        <s v="WJC"/>
        <s v="MCK"/>
      </sharedItems>
    </cacheField>
    <cacheField name="Name" numFmtId="0">
      <sharedItems count="18">
        <s v="Payton Rose"/>
        <s v="Kobe Smith"/>
        <s v="Jeff Caldwell"/>
        <s v="Spencer Redd"/>
        <s v="Chase Lanckriet"/>
        <s v="Jalen Bethany"/>
        <s v="Andrew Martin"/>
        <s v="Dom McManus"/>
        <s v="Tyus Hanson"/>
        <s v="Robert Giaimo"/>
        <s v="Darrin Fugitt"/>
        <s v="Abraham Haerr"/>
        <s v="Justin Williams"/>
        <s v="Connor Mazzotta"/>
        <s v="Jared Rhodes"/>
        <s v="Drew Krobath"/>
        <s v="Donovan Marshall"/>
        <s v="Caleb Unwiller"/>
      </sharedItems>
    </cacheField>
    <cacheField name="YACgame" numFmtId="0">
      <sharedItems containsSemiMixedTypes="0" containsString="0" containsNumber="1" containsInteger="1" minValue="0" maxValue="65"/>
    </cacheField>
    <cacheField name="YACaverageperplaywithcatchgame" numFmtId="164">
      <sharedItems containsSemiMixedTypes="0" containsString="0" containsNumber="1" minValue="0" maxValue="25"/>
    </cacheField>
    <cacheField name="Yardsaverageperplaywithcatchgame (no yac)" numFmtId="164">
      <sharedItems containsSemiMixedTypes="0" containsString="0" containsNumber="1" minValue="0" maxValue="37"/>
    </cacheField>
    <cacheField name="YardsCombinedperplaywithcatchgame" numFmtId="164">
      <sharedItems containsSemiMixedTypes="0" containsString="0" containsNumber="1" minValue="0" maxValue="54"/>
    </cacheField>
    <cacheField name="targetsgame" numFmtId="0">
      <sharedItems containsSemiMixedTypes="0" containsString="0" containsNumber="1" containsInteger="1" minValue="0" maxValue="13"/>
    </cacheField>
    <cacheField name="recgame" numFmtId="0">
      <sharedItems containsSemiMixedTypes="0" containsString="0" containsNumber="1" containsInteger="1" minValue="0" maxValue="10"/>
    </cacheField>
    <cacheField name="yardsgame" numFmtId="0">
      <sharedItems containsSemiMixedTypes="0" containsString="0" containsNumber="1" containsInteger="1" minValue="0" maxValue="200"/>
    </cacheField>
    <cacheField name="totalyardsgame" numFmtId="0">
      <sharedItems containsSemiMixedTypes="0" containsString="0" containsNumber="1" containsInteger="1" minValue="0" maxValue="209"/>
    </cacheField>
    <cacheField name="avgyardsperplaywithcatchgame" numFmtId="0">
      <sharedItems containsSemiMixedTypes="0" containsString="0" containsNumber="1" minValue="0" maxValue="37"/>
    </cacheField>
    <cacheField name="totalavgyardswithcatchandyacgame" numFmtId="0">
      <sharedItems containsSemiMixedTypes="0" containsString="0" containsNumber="1" minValue="0" maxValue="54"/>
    </cacheField>
    <cacheField name="Gamesplayedwithatleastonetarget" numFmtId="0">
      <sharedItems containsSemiMixedTypes="0" containsString="0" containsNumber="1" containsInteger="1" minValue="1" maxValue="7"/>
    </cacheField>
    <cacheField name="YacYardsSeason" numFmtId="0">
      <sharedItems containsSemiMixedTypes="0" containsString="0" containsNumber="1" containsInteger="1" minValue="0" maxValue="239"/>
    </cacheField>
    <cacheField name="AverageYacPerGameSeason (not per play per game)" numFmtId="0">
      <sharedItems containsSemiMixedTypes="0" containsString="0" containsNumber="1" minValue="0" maxValue="34.142857142857146"/>
    </cacheField>
    <cacheField name="TotalYardsSeason(Withoutyac, not per play, but per game)" numFmtId="0">
      <sharedItems containsSemiMixedTypes="0" containsString="0" containsNumber="1" containsInteger="1" minValue="0" maxValue="825"/>
    </cacheField>
    <cacheField name="AverageYardsPerGameSeason" numFmtId="0">
      <sharedItems containsSemiMixedTypes="0" containsString="0" containsNumber="1" minValue="0" maxValue="117.85714285714286"/>
    </cacheField>
    <cacheField name="TotalCombinedYards" numFmtId="0">
      <sharedItems containsSemiMixedTypes="0" containsString="0" containsNumber="1" containsInteger="1" minValue="0" maxValue="935" count="18">
        <n v="935"/>
        <n v="760"/>
        <n v="138"/>
        <n v="166"/>
        <n v="314"/>
        <n v="210"/>
        <n v="265"/>
        <n v="26"/>
        <n v="4"/>
        <n v="174"/>
        <n v="2"/>
        <n v="0"/>
        <n v="22"/>
        <n v="74"/>
        <n v="38"/>
        <n v="29"/>
        <n v="51"/>
        <n v="6"/>
      </sharedItems>
    </cacheField>
    <cacheField name="AverageCombinedTotalYardsPerGameSeason" numFmtId="0">
      <sharedItems containsSemiMixedTypes="0" containsString="0" containsNumber="1" minValue="0" maxValue="133.57142857142858"/>
    </cacheField>
    <cacheField name="AverageYacYardsPerPlayPerCatchPerGameSeason" numFmtId="0">
      <sharedItems containsSemiMixedTypes="0" containsString="0" containsNumber="1" minValue="0" maxValue="16.5" count="13">
        <n v="2.9843537414965984"/>
        <n v="6.9095238095238107"/>
        <n v="0.25"/>
        <n v="3.7333333333333329"/>
        <n v="3.0333333333333332"/>
        <n v="2.0476190476190479"/>
        <n v="8.5916666666666668"/>
        <n v="2"/>
        <n v="0"/>
        <n v="0.66666666666666663"/>
        <n v="16.5"/>
        <n v="4"/>
        <n v="7.666666666666667"/>
      </sharedItems>
    </cacheField>
    <cacheField name="AverageYardsPerPlayPerCatchPerGameSeason (Without Yac)" numFmtId="0">
      <sharedItems containsSemiMixedTypes="0" containsString="0" containsNumber="1" minValue="0" maxValue="29"/>
    </cacheField>
    <cacheField name="AverageCombinedYardsPerPlayPerGameSeason" numFmtId="0">
      <sharedItems containsSemiMixedTypes="0" containsString="0" containsNumber="1" minValue="0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Keiser"/>
    <x v="0"/>
    <n v="27"/>
    <n v="3.8571428571428572"/>
    <n v="9"/>
    <n v="7"/>
    <n v="180"/>
    <n v="207"/>
    <n v="25.714285714285715"/>
    <n v="14.785714285714286"/>
    <n v="7"/>
    <n v="110"/>
    <x v="0"/>
    <n v="825"/>
    <n v="117.85714285714286"/>
    <n v="935"/>
    <n v="133.57142857142858"/>
  </r>
  <r>
    <s v="Keiser"/>
    <x v="1"/>
    <n v="54"/>
    <n v="10.8"/>
    <n v="8"/>
    <n v="5"/>
    <n v="111"/>
    <n v="165"/>
    <n v="22.2"/>
    <n v="16.5"/>
    <n v="7"/>
    <n v="239"/>
    <x v="1"/>
    <n v="521"/>
    <n v="74.428571428571431"/>
    <n v="760"/>
    <n v="108.57142857142857"/>
  </r>
  <r>
    <s v="Keiser"/>
    <x v="2"/>
    <n v="0"/>
    <n v="0"/>
    <n v="3"/>
    <n v="2"/>
    <n v="32"/>
    <n v="32"/>
    <n v="16"/>
    <n v="8"/>
    <n v="4"/>
    <n v="3"/>
    <x v="2"/>
    <n v="135"/>
    <n v="33.75"/>
    <n v="138"/>
    <n v="34.5"/>
  </r>
  <r>
    <s v="Keiser"/>
    <x v="3"/>
    <n v="10"/>
    <n v="5"/>
    <n v="5"/>
    <n v="2"/>
    <n v="28"/>
    <n v="38"/>
    <n v="14"/>
    <n v="9.5"/>
    <n v="6"/>
    <n v="45"/>
    <x v="3"/>
    <n v="121"/>
    <n v="20.166666666666668"/>
    <n v="166"/>
    <n v="27.666666666666668"/>
  </r>
  <r>
    <s v="Keiser"/>
    <x v="4"/>
    <n v="5"/>
    <n v="2.5"/>
    <n v="4"/>
    <n v="2"/>
    <n v="18"/>
    <n v="23"/>
    <n v="9"/>
    <n v="5.75"/>
    <n v="6"/>
    <n v="83"/>
    <x v="4"/>
    <n v="231"/>
    <n v="38.5"/>
    <n v="314"/>
    <n v="52.333333333333336"/>
  </r>
  <r>
    <s v="Keiser"/>
    <x v="5"/>
    <n v="4"/>
    <n v="4"/>
    <n v="2"/>
    <n v="1"/>
    <n v="9"/>
    <n v="13"/>
    <n v="9"/>
    <n v="6.5"/>
    <n v="7"/>
    <n v="65"/>
    <x v="5"/>
    <n v="145"/>
    <n v="20.714285714285715"/>
    <n v="210"/>
    <n v="30"/>
  </r>
  <r>
    <s v="Keiser"/>
    <x v="6"/>
    <n v="13"/>
    <n v="13"/>
    <n v="2"/>
    <n v="1"/>
    <n v="8"/>
    <n v="21"/>
    <n v="8"/>
    <n v="10.5"/>
    <n v="6"/>
    <n v="124"/>
    <x v="6"/>
    <n v="141"/>
    <n v="23.5"/>
    <n v="265"/>
    <n v="44.166666666666664"/>
  </r>
  <r>
    <s v="Keiser"/>
    <x v="7"/>
    <n v="0"/>
    <n v="0"/>
    <n v="2"/>
    <n v="1"/>
    <n v="5"/>
    <n v="5"/>
    <n v="5"/>
    <n v="2.5"/>
    <n v="3"/>
    <n v="6"/>
    <x v="7"/>
    <n v="20"/>
    <n v="6.666666666666667"/>
    <n v="26"/>
    <n v="8.6666666666666661"/>
  </r>
  <r>
    <s v="Keiser"/>
    <x v="8"/>
    <n v="0"/>
    <n v="0"/>
    <n v="1"/>
    <n v="1"/>
    <n v="4"/>
    <n v="4"/>
    <n v="4"/>
    <n v="2"/>
    <n v="1"/>
    <n v="0"/>
    <x v="8"/>
    <n v="4"/>
    <n v="4"/>
    <n v="4"/>
    <n v="4"/>
  </r>
  <r>
    <s v="HBU"/>
    <x v="1"/>
    <n v="5"/>
    <n v="0.83333333333333337"/>
    <n v="9"/>
    <n v="6"/>
    <n v="46"/>
    <n v="51"/>
    <n v="7.666666666666667"/>
    <n v="4.25"/>
    <n v="7"/>
    <n v="239"/>
    <x v="1"/>
    <n v="521"/>
    <n v="74.428571428571431"/>
    <n v="760"/>
    <n v="108.57142857142857"/>
  </r>
  <r>
    <s v="HBU"/>
    <x v="4"/>
    <n v="11"/>
    <n v="2.2000000000000002"/>
    <n v="7"/>
    <n v="5"/>
    <n v="51"/>
    <n v="62"/>
    <n v="10.199999999999999"/>
    <n v="6.1999999999999993"/>
    <n v="6"/>
    <n v="83"/>
    <x v="4"/>
    <n v="231"/>
    <n v="38.5"/>
    <n v="314"/>
    <n v="52.333333333333336"/>
  </r>
  <r>
    <s v="HBU"/>
    <x v="3"/>
    <n v="22"/>
    <n v="4.4000000000000004"/>
    <n v="6"/>
    <n v="5"/>
    <n v="44"/>
    <n v="66"/>
    <n v="8.8000000000000007"/>
    <n v="6.6000000000000005"/>
    <n v="6"/>
    <n v="45"/>
    <x v="3"/>
    <n v="121"/>
    <n v="20.166666666666668"/>
    <n v="166"/>
    <n v="27.666666666666668"/>
  </r>
  <r>
    <s v="HBU"/>
    <x v="0"/>
    <n v="1"/>
    <n v="0.33333333333333331"/>
    <n v="6"/>
    <n v="3"/>
    <n v="33"/>
    <n v="34"/>
    <n v="11"/>
    <n v="5.666666666666667"/>
    <n v="7"/>
    <n v="110"/>
    <x v="0"/>
    <n v="825"/>
    <n v="117.85714285714286"/>
    <n v="935"/>
    <n v="133.57142857142858"/>
  </r>
  <r>
    <s v="HBU"/>
    <x v="5"/>
    <n v="0"/>
    <n v="0"/>
    <n v="1"/>
    <n v="1"/>
    <n v="5"/>
    <n v="5"/>
    <n v="5"/>
    <n v="2.5"/>
    <n v="7"/>
    <n v="29"/>
    <x v="9"/>
    <n v="145"/>
    <n v="20.714285714285715"/>
    <n v="174"/>
    <n v="24.857142857142858"/>
  </r>
  <r>
    <s v="HBU"/>
    <x v="9"/>
    <n v="0"/>
    <n v="0"/>
    <n v="1"/>
    <n v="1"/>
    <n v="2"/>
    <n v="2"/>
    <n v="2"/>
    <n v="1"/>
    <n v="1"/>
    <n v="0"/>
    <x v="8"/>
    <n v="2"/>
    <n v="2"/>
    <n v="2"/>
    <n v="2"/>
  </r>
  <r>
    <s v="HBU"/>
    <x v="2"/>
    <n v="0"/>
    <n v="0"/>
    <n v="1"/>
    <n v="1"/>
    <n v="0"/>
    <n v="0"/>
    <n v="0"/>
    <n v="0"/>
    <n v="4"/>
    <n v="3"/>
    <x v="2"/>
    <n v="135"/>
    <n v="33.75"/>
    <n v="138"/>
    <n v="34.5"/>
  </r>
  <r>
    <s v="HBU"/>
    <x v="10"/>
    <n v="0"/>
    <n v="0"/>
    <n v="1"/>
    <n v="1"/>
    <n v="0"/>
    <n v="0"/>
    <n v="0"/>
    <n v="0"/>
    <n v="1"/>
    <n v="0"/>
    <x v="8"/>
    <n v="0"/>
    <n v="0"/>
    <n v="0"/>
    <n v="0"/>
  </r>
  <r>
    <s v="SEMO"/>
    <x v="0"/>
    <n v="6"/>
    <n v="1"/>
    <n v="12"/>
    <n v="6"/>
    <n v="67"/>
    <n v="73"/>
    <n v="11.166666666666666"/>
    <n v="6.083333333333333"/>
    <n v="7"/>
    <n v="110"/>
    <x v="0"/>
    <n v="825"/>
    <n v="117.85714285714286"/>
    <n v="935"/>
    <n v="133.57142857142858"/>
  </r>
  <r>
    <s v="SEMO"/>
    <x v="1"/>
    <n v="11"/>
    <n v="2.2000000000000002"/>
    <n v="6"/>
    <n v="5"/>
    <n v="79"/>
    <n v="90"/>
    <n v="15.8"/>
    <n v="9"/>
    <n v="7"/>
    <n v="239"/>
    <x v="1"/>
    <n v="521"/>
    <n v="74.428571428571431"/>
    <n v="760"/>
    <n v="108.57142857142857"/>
  </r>
  <r>
    <s v="SEMO"/>
    <x v="6"/>
    <n v="54"/>
    <n v="10.8"/>
    <n v="6"/>
    <n v="5"/>
    <n v="60"/>
    <n v="114"/>
    <n v="12"/>
    <n v="11.4"/>
    <n v="6"/>
    <n v="124"/>
    <x v="6"/>
    <n v="141"/>
    <n v="23.5"/>
    <n v="265"/>
    <n v="44.166666666666664"/>
  </r>
  <r>
    <s v="SEMO"/>
    <x v="4"/>
    <n v="12"/>
    <n v="4"/>
    <n v="4"/>
    <n v="3"/>
    <n v="22"/>
    <n v="34"/>
    <n v="7.333333333333333"/>
    <n v="5.6666666666666661"/>
    <n v="6"/>
    <n v="83"/>
    <x v="4"/>
    <n v="231"/>
    <n v="38.5"/>
    <n v="314"/>
    <n v="52.333333333333336"/>
  </r>
  <r>
    <s v="SEMO"/>
    <x v="11"/>
    <n v="6"/>
    <n v="2"/>
    <n v="3"/>
    <n v="3"/>
    <n v="16"/>
    <n v="22"/>
    <n v="5.333333333333333"/>
    <n v="3.6666666666666665"/>
    <n v="3"/>
    <n v="6"/>
    <x v="7"/>
    <n v="16"/>
    <n v="5.333333333333333"/>
    <n v="22"/>
    <n v="7.333333333333333"/>
  </r>
  <r>
    <s v="SEMO"/>
    <x v="5"/>
    <n v="0"/>
    <n v="0"/>
    <n v="3"/>
    <n v="2"/>
    <n v="36"/>
    <n v="36"/>
    <n v="18"/>
    <n v="9"/>
    <n v="7"/>
    <n v="29"/>
    <x v="9"/>
    <n v="145"/>
    <n v="20.714285714285715"/>
    <n v="174"/>
    <n v="24.857142857142858"/>
  </r>
  <r>
    <s v="SEMO"/>
    <x v="2"/>
    <n v="0"/>
    <n v="0"/>
    <n v="4"/>
    <n v="2"/>
    <n v="29"/>
    <n v="29"/>
    <n v="14.5"/>
    <n v="7.25"/>
    <n v="4"/>
    <n v="3"/>
    <x v="2"/>
    <n v="135"/>
    <n v="33.75"/>
    <n v="138"/>
    <n v="34.5"/>
  </r>
  <r>
    <s v="SEMO"/>
    <x v="12"/>
    <n v="25"/>
    <n v="25"/>
    <n v="1"/>
    <n v="1"/>
    <n v="29"/>
    <n v="54"/>
    <n v="29"/>
    <n v="27"/>
    <n v="2"/>
    <n v="33"/>
    <x v="10"/>
    <n v="41"/>
    <n v="20.5"/>
    <n v="74"/>
    <n v="37"/>
  </r>
  <r>
    <s v="SEMO"/>
    <x v="3"/>
    <n v="3"/>
    <n v="3"/>
    <n v="3"/>
    <n v="1"/>
    <n v="8"/>
    <n v="11"/>
    <n v="8"/>
    <n v="5.5"/>
    <n v="6"/>
    <n v="45"/>
    <x v="3"/>
    <n v="121"/>
    <n v="20.166666666666668"/>
    <n v="166"/>
    <n v="27.666666666666668"/>
  </r>
  <r>
    <s v="UCA"/>
    <x v="4"/>
    <n v="54"/>
    <n v="9"/>
    <n v="9"/>
    <n v="6"/>
    <n v="119"/>
    <n v="173"/>
    <n v="19.833333333333332"/>
    <n v="14.416666666666666"/>
    <n v="6"/>
    <n v="83"/>
    <x v="4"/>
    <n v="231"/>
    <n v="38.5"/>
    <n v="314"/>
    <n v="52.333333333333336"/>
  </r>
  <r>
    <s v="UCA"/>
    <x v="1"/>
    <n v="65"/>
    <n v="10.833333333333334"/>
    <n v="8"/>
    <n v="6"/>
    <n v="94"/>
    <n v="159"/>
    <n v="15.666666666666666"/>
    <n v="13.25"/>
    <n v="7"/>
    <n v="239"/>
    <x v="1"/>
    <n v="521"/>
    <n v="74.428571428571431"/>
    <n v="760"/>
    <n v="108.57142857142857"/>
  </r>
  <r>
    <s v="UCA"/>
    <x v="0"/>
    <n v="24"/>
    <n v="4.8"/>
    <n v="9"/>
    <n v="5"/>
    <n v="103"/>
    <n v="127"/>
    <n v="20.6"/>
    <n v="12.700000000000001"/>
    <n v="7"/>
    <n v="110"/>
    <x v="0"/>
    <n v="825"/>
    <n v="117.85714285714286"/>
    <n v="935"/>
    <n v="133.57142857142858"/>
  </r>
  <r>
    <s v="UCA"/>
    <x v="6"/>
    <n v="13"/>
    <n v="3.25"/>
    <n v="4"/>
    <n v="4"/>
    <n v="24"/>
    <n v="37"/>
    <n v="6"/>
    <n v="4.625"/>
    <n v="6"/>
    <n v="124"/>
    <x v="6"/>
    <n v="141"/>
    <n v="23.5"/>
    <n v="265"/>
    <n v="44.166666666666664"/>
  </r>
  <r>
    <s v="UCA"/>
    <x v="5"/>
    <n v="6"/>
    <n v="3"/>
    <n v="3"/>
    <n v="2"/>
    <n v="25"/>
    <n v="31"/>
    <n v="12.5"/>
    <n v="7.75"/>
    <n v="7"/>
    <n v="29"/>
    <x v="9"/>
    <n v="145"/>
    <n v="20.714285714285715"/>
    <n v="174"/>
    <n v="24.857142857142858"/>
  </r>
  <r>
    <s v="UCA"/>
    <x v="3"/>
    <n v="5"/>
    <n v="5"/>
    <n v="1"/>
    <n v="1"/>
    <n v="21"/>
    <n v="26"/>
    <n v="21"/>
    <n v="13"/>
    <n v="6"/>
    <n v="45"/>
    <x v="3"/>
    <n v="121"/>
    <n v="20.166666666666668"/>
    <n v="166"/>
    <n v="27.666666666666668"/>
  </r>
  <r>
    <s v="UCA"/>
    <x v="7"/>
    <n v="6"/>
    <n v="6"/>
    <n v="1"/>
    <n v="1"/>
    <n v="15"/>
    <n v="21"/>
    <n v="15"/>
    <n v="10.5"/>
    <n v="3"/>
    <n v="6"/>
    <x v="7"/>
    <n v="20"/>
    <n v="6.666666666666667"/>
    <n v="26"/>
    <n v="8.6666666666666661"/>
  </r>
  <r>
    <s v="UCA"/>
    <x v="12"/>
    <n v="8"/>
    <n v="8"/>
    <n v="1"/>
    <n v="1"/>
    <n v="12"/>
    <n v="20"/>
    <n v="12"/>
    <n v="10"/>
    <n v="2"/>
    <n v="33"/>
    <x v="10"/>
    <n v="41"/>
    <n v="20.5"/>
    <n v="74"/>
    <n v="37"/>
  </r>
  <r>
    <s v="UCA"/>
    <x v="11"/>
    <n v="0"/>
    <n v="0"/>
    <n v="3"/>
    <n v="0"/>
    <n v="0"/>
    <n v="0"/>
    <n v="0"/>
    <n v="0"/>
    <n v="3"/>
    <n v="6"/>
    <x v="7"/>
    <n v="16"/>
    <n v="5.333333333333333"/>
    <n v="22"/>
    <n v="7.333333333333333"/>
  </r>
  <r>
    <s v="MSU"/>
    <x v="1"/>
    <n v="31"/>
    <n v="6.2"/>
    <n v="11"/>
    <n v="5"/>
    <n v="65"/>
    <n v="96"/>
    <n v="13"/>
    <n v="9.6"/>
    <n v="7"/>
    <n v="239"/>
    <x v="1"/>
    <n v="521"/>
    <n v="74.428571428571431"/>
    <n v="760"/>
    <n v="108.57142857142857"/>
  </r>
  <r>
    <s v="MSU"/>
    <x v="0"/>
    <n v="24"/>
    <n v="8"/>
    <n v="6"/>
    <n v="3"/>
    <n v="111"/>
    <n v="135"/>
    <n v="37"/>
    <n v="22.5"/>
    <n v="7"/>
    <n v="110"/>
    <x v="0"/>
    <n v="825"/>
    <n v="117.85714285714286"/>
    <n v="935"/>
    <n v="133.57142857142858"/>
  </r>
  <r>
    <s v="MSU"/>
    <x v="5"/>
    <n v="7"/>
    <n v="2.3333333333333335"/>
    <n v="3"/>
    <n v="3"/>
    <n v="31"/>
    <n v="38"/>
    <n v="10.333333333333334"/>
    <n v="6.3333333333333339"/>
    <n v="7"/>
    <n v="29"/>
    <x v="9"/>
    <n v="145"/>
    <n v="20.714285714285715"/>
    <n v="174"/>
    <n v="24.857142857142858"/>
  </r>
  <r>
    <s v="MSU"/>
    <x v="4"/>
    <n v="1"/>
    <n v="0.5"/>
    <n v="2"/>
    <n v="2"/>
    <n v="16"/>
    <n v="17"/>
    <n v="8"/>
    <n v="4.25"/>
    <n v="6"/>
    <n v="83"/>
    <x v="4"/>
    <n v="231"/>
    <n v="38.5"/>
    <n v="314"/>
    <n v="52.333333333333336"/>
  </r>
  <r>
    <s v="MSU"/>
    <x v="6"/>
    <n v="23"/>
    <n v="11.5"/>
    <n v="2"/>
    <n v="2"/>
    <n v="13"/>
    <n v="36"/>
    <n v="6.5"/>
    <n v="9"/>
    <n v="6"/>
    <n v="124"/>
    <x v="6"/>
    <n v="141"/>
    <n v="23.5"/>
    <n v="265"/>
    <n v="44.166666666666664"/>
  </r>
  <r>
    <s v="MSU"/>
    <x v="3"/>
    <n v="2"/>
    <n v="2"/>
    <n v="2"/>
    <n v="1"/>
    <n v="6"/>
    <n v="8"/>
    <n v="6"/>
    <n v="4"/>
    <n v="6"/>
    <n v="45"/>
    <x v="3"/>
    <n v="121"/>
    <n v="20.166666666666668"/>
    <n v="166"/>
    <n v="27.666666666666668"/>
  </r>
  <r>
    <s v="MSU"/>
    <x v="13"/>
    <n v="0"/>
    <n v="0"/>
    <n v="0"/>
    <n v="0"/>
    <n v="0"/>
    <n v="0"/>
    <n v="0"/>
    <n v="0"/>
    <n v="1"/>
    <n v="0"/>
    <x v="8"/>
    <n v="0"/>
    <n v="0"/>
    <n v="0"/>
    <n v="0"/>
  </r>
  <r>
    <s v="WJC"/>
    <x v="0"/>
    <n v="9"/>
    <n v="1"/>
    <n v="11"/>
    <n v="9"/>
    <n v="200"/>
    <n v="209"/>
    <n v="22.222222222222221"/>
    <n v="11.611111111111111"/>
    <n v="7"/>
    <n v="110"/>
    <x v="0"/>
    <n v="825"/>
    <n v="117.85714285714286"/>
    <n v="935"/>
    <n v="133.57142857142858"/>
  </r>
  <r>
    <s v="WJC"/>
    <x v="2"/>
    <n v="3"/>
    <n v="1"/>
    <n v="3"/>
    <n v="3"/>
    <n v="74"/>
    <n v="77"/>
    <n v="24.666666666666668"/>
    <n v="12.833333333333334"/>
    <n v="4"/>
    <n v="3"/>
    <x v="2"/>
    <n v="135"/>
    <n v="33.75"/>
    <n v="138"/>
    <n v="34.5"/>
  </r>
  <r>
    <s v="WJC"/>
    <x v="1"/>
    <n v="32"/>
    <n v="10.666666666666666"/>
    <n v="10"/>
    <n v="3"/>
    <n v="63"/>
    <n v="95"/>
    <n v="21"/>
    <n v="15.833333333333332"/>
    <n v="7"/>
    <n v="239"/>
    <x v="1"/>
    <n v="521"/>
    <n v="74.428571428571431"/>
    <n v="760"/>
    <n v="108.57142857142857"/>
  </r>
  <r>
    <s v="WJC"/>
    <x v="14"/>
    <n v="12"/>
    <n v="4"/>
    <n v="3"/>
    <n v="3"/>
    <n v="26"/>
    <n v="38"/>
    <n v="8.6666666666666661"/>
    <n v="6.333333333333333"/>
    <n v="1"/>
    <n v="12"/>
    <x v="11"/>
    <n v="26"/>
    <n v="26"/>
    <n v="38"/>
    <n v="38"/>
  </r>
  <r>
    <s v="WJC"/>
    <x v="6"/>
    <n v="12"/>
    <n v="4"/>
    <n v="3"/>
    <n v="3"/>
    <n v="24"/>
    <n v="36"/>
    <n v="8"/>
    <n v="6"/>
    <n v="6"/>
    <n v="124"/>
    <x v="6"/>
    <n v="141"/>
    <n v="23.5"/>
    <n v="265"/>
    <n v="44.166666666666664"/>
  </r>
  <r>
    <s v="WJC"/>
    <x v="5"/>
    <n v="6"/>
    <n v="3"/>
    <n v="2"/>
    <n v="2"/>
    <n v="10"/>
    <n v="16"/>
    <n v="5"/>
    <n v="4"/>
    <n v="7"/>
    <n v="29"/>
    <x v="9"/>
    <n v="145"/>
    <n v="20.714285714285715"/>
    <n v="174"/>
    <n v="24.857142857142858"/>
  </r>
  <r>
    <s v="WJC"/>
    <x v="15"/>
    <n v="0"/>
    <n v="0"/>
    <n v="1"/>
    <n v="1"/>
    <n v="29"/>
    <n v="29"/>
    <n v="29"/>
    <n v="14.5"/>
    <n v="1"/>
    <n v="0"/>
    <x v="8"/>
    <n v="29"/>
    <n v="29"/>
    <n v="29"/>
    <n v="29"/>
  </r>
  <r>
    <s v="WJC"/>
    <x v="3"/>
    <n v="3"/>
    <n v="3"/>
    <n v="1"/>
    <n v="1"/>
    <n v="14"/>
    <n v="17"/>
    <n v="14"/>
    <n v="8.5"/>
    <n v="6"/>
    <n v="45"/>
    <x v="3"/>
    <n v="121"/>
    <n v="20.166666666666668"/>
    <n v="166"/>
    <n v="27.666666666666668"/>
  </r>
  <r>
    <s v="WJC"/>
    <x v="4"/>
    <n v="0"/>
    <n v="0"/>
    <n v="1"/>
    <n v="1"/>
    <n v="5"/>
    <n v="5"/>
    <n v="5"/>
    <n v="2.5"/>
    <n v="6"/>
    <n v="83"/>
    <x v="4"/>
    <n v="231"/>
    <n v="38.5"/>
    <n v="314"/>
    <n v="52.333333333333336"/>
  </r>
  <r>
    <s v="WJC"/>
    <x v="7"/>
    <n v="0"/>
    <n v="0"/>
    <n v="1"/>
    <n v="0"/>
    <n v="0"/>
    <n v="0"/>
    <n v="0"/>
    <n v="0"/>
    <n v="3"/>
    <n v="6"/>
    <x v="7"/>
    <n v="20"/>
    <n v="6.666666666666667"/>
    <n v="26"/>
    <n v="8.6666666666666661"/>
  </r>
  <r>
    <s v="MCK"/>
    <x v="0"/>
    <n v="19"/>
    <n v="1.9"/>
    <n v="13"/>
    <n v="10"/>
    <n v="131"/>
    <n v="150"/>
    <n v="13.1"/>
    <n v="7.5"/>
    <n v="7"/>
    <n v="110"/>
    <x v="0"/>
    <n v="825"/>
    <n v="117.85714285714286"/>
    <n v="935"/>
    <n v="133.57142857142858"/>
  </r>
  <r>
    <s v="MCK"/>
    <x v="1"/>
    <n v="41"/>
    <n v="6.833333333333333"/>
    <n v="8"/>
    <n v="6"/>
    <n v="63"/>
    <n v="104"/>
    <n v="10.5"/>
    <n v="8.6666666666666661"/>
    <n v="7"/>
    <n v="239"/>
    <x v="1"/>
    <n v="521"/>
    <n v="74.428571428571431"/>
    <n v="760"/>
    <n v="108.57142857142857"/>
  </r>
  <r>
    <s v="MCK"/>
    <x v="5"/>
    <n v="6"/>
    <n v="2"/>
    <n v="4"/>
    <n v="3"/>
    <n v="29"/>
    <n v="35"/>
    <n v="9.6666666666666661"/>
    <n v="5.833333333333333"/>
    <n v="7"/>
    <n v="29"/>
    <x v="9"/>
    <n v="145"/>
    <n v="20.714285714285715"/>
    <n v="174"/>
    <n v="24.857142857142858"/>
  </r>
  <r>
    <s v="MCK"/>
    <x v="16"/>
    <n v="23"/>
    <n v="7.666666666666667"/>
    <n v="3"/>
    <n v="3"/>
    <n v="28"/>
    <n v="51"/>
    <n v="9.3333333333333339"/>
    <n v="8.5"/>
    <n v="1"/>
    <n v="23"/>
    <x v="12"/>
    <n v="28"/>
    <n v="28"/>
    <n v="51"/>
    <n v="51"/>
  </r>
  <r>
    <s v="MCK"/>
    <x v="6"/>
    <n v="9"/>
    <n v="9"/>
    <n v="1"/>
    <n v="1"/>
    <n v="12"/>
    <n v="21"/>
    <n v="12"/>
    <n v="10.5"/>
    <n v="6"/>
    <n v="124"/>
    <x v="6"/>
    <n v="141"/>
    <n v="23.5"/>
    <n v="265"/>
    <n v="44.166666666666664"/>
  </r>
  <r>
    <s v="MCK"/>
    <x v="17"/>
    <n v="0"/>
    <n v="0"/>
    <n v="1"/>
    <n v="1"/>
    <n v="6"/>
    <n v="6"/>
    <n v="6"/>
    <n v="3"/>
    <n v="1"/>
    <n v="0"/>
    <x v="8"/>
    <n v="6"/>
    <n v="6"/>
    <n v="6"/>
    <n v="6"/>
  </r>
  <r>
    <s v="MCK"/>
    <x v="11"/>
    <n v="0"/>
    <n v="0"/>
    <n v="1"/>
    <n v="0"/>
    <n v="0"/>
    <n v="0"/>
    <n v="0"/>
    <n v="0"/>
    <n v="3"/>
    <n v="6"/>
    <x v="7"/>
    <n v="16"/>
    <n v="5.333333333333333"/>
    <n v="22"/>
    <n v="7.3333333333333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x v="0"/>
    <n v="27"/>
    <n v="3.8571428571428572"/>
    <n v="25.714285714285715"/>
    <n v="29.571428571428573"/>
    <n v="9"/>
    <n v="7"/>
    <n v="180"/>
    <n v="207"/>
    <n v="25.714285714285715"/>
    <n v="29.571428571428573"/>
    <n v="7"/>
    <n v="110"/>
    <n v="15.714285714285714"/>
    <n v="825"/>
    <n v="117.85714285714286"/>
    <x v="0"/>
    <n v="133.57142857142858"/>
    <x v="0"/>
    <n v="20.114739229024941"/>
    <n v="23.099092970521543"/>
  </r>
  <r>
    <x v="0"/>
    <x v="1"/>
    <n v="54"/>
    <n v="10.8"/>
    <n v="22.2"/>
    <n v="33"/>
    <n v="8"/>
    <n v="5"/>
    <n v="111"/>
    <n v="165"/>
    <n v="22.2"/>
    <n v="33"/>
    <n v="7"/>
    <n v="239"/>
    <n v="34.142857142857146"/>
    <n v="521"/>
    <n v="74.428571428571431"/>
    <x v="1"/>
    <n v="108.57142857142857"/>
    <x v="1"/>
    <n v="15.11904761904762"/>
    <n v="22.028571428571432"/>
  </r>
  <r>
    <x v="0"/>
    <x v="2"/>
    <n v="0"/>
    <n v="0"/>
    <n v="16"/>
    <n v="16"/>
    <n v="3"/>
    <n v="2"/>
    <n v="32"/>
    <n v="32"/>
    <n v="16"/>
    <n v="16"/>
    <n v="4"/>
    <n v="3"/>
    <n v="0.75"/>
    <n v="135"/>
    <n v="33.75"/>
    <x v="2"/>
    <n v="34.5"/>
    <x v="2"/>
    <n v="13.791666666666668"/>
    <n v="14.041666666666668"/>
  </r>
  <r>
    <x v="0"/>
    <x v="3"/>
    <n v="10"/>
    <n v="5"/>
    <n v="14"/>
    <n v="19"/>
    <n v="5"/>
    <n v="2"/>
    <n v="28"/>
    <n v="38"/>
    <n v="14"/>
    <n v="19"/>
    <n v="6"/>
    <n v="45"/>
    <n v="7.5"/>
    <n v="121"/>
    <n v="20.166666666666668"/>
    <x v="3"/>
    <n v="27.666666666666668"/>
    <x v="3"/>
    <n v="11.966666666666667"/>
    <n v="15.700000000000001"/>
  </r>
  <r>
    <x v="0"/>
    <x v="4"/>
    <n v="5"/>
    <n v="2.5"/>
    <n v="9"/>
    <n v="11.5"/>
    <n v="4"/>
    <n v="2"/>
    <n v="18"/>
    <n v="23"/>
    <n v="9"/>
    <n v="11.5"/>
    <n v="6"/>
    <n v="83"/>
    <n v="13.833333333333334"/>
    <n v="231"/>
    <n v="38.5"/>
    <x v="4"/>
    <n v="52.333333333333336"/>
    <x v="4"/>
    <n v="9.8944444444444439"/>
    <n v="12.927777777777777"/>
  </r>
  <r>
    <x v="0"/>
    <x v="5"/>
    <n v="4"/>
    <n v="4"/>
    <n v="9"/>
    <n v="13"/>
    <n v="2"/>
    <n v="1"/>
    <n v="9"/>
    <n v="13"/>
    <n v="9"/>
    <n v="13"/>
    <n v="7"/>
    <n v="65"/>
    <n v="9.2857142857142865"/>
    <n v="145"/>
    <n v="20.714285714285715"/>
    <x v="5"/>
    <n v="30"/>
    <x v="5"/>
    <n v="9.9285714285714288"/>
    <n v="11.976190476190478"/>
  </r>
  <r>
    <x v="0"/>
    <x v="6"/>
    <n v="13"/>
    <n v="13"/>
    <n v="8"/>
    <n v="21"/>
    <n v="2"/>
    <n v="1"/>
    <n v="8"/>
    <n v="21"/>
    <n v="8"/>
    <n v="21"/>
    <n v="6"/>
    <n v="124"/>
    <n v="20.666666666666668"/>
    <n v="141"/>
    <n v="23.5"/>
    <x v="6"/>
    <n v="44.166666666666664"/>
    <x v="6"/>
    <n v="8.75"/>
    <n v="17.341666666666665"/>
  </r>
  <r>
    <x v="0"/>
    <x v="7"/>
    <n v="0"/>
    <n v="0"/>
    <n v="5"/>
    <n v="5"/>
    <n v="2"/>
    <n v="1"/>
    <n v="5"/>
    <n v="5"/>
    <n v="5"/>
    <n v="5"/>
    <n v="3"/>
    <n v="6"/>
    <n v="2"/>
    <n v="20"/>
    <n v="6.666666666666667"/>
    <x v="7"/>
    <n v="8.6666666666666661"/>
    <x v="7"/>
    <n v="6.666666666666667"/>
    <n v="8.6666666666666661"/>
  </r>
  <r>
    <x v="0"/>
    <x v="8"/>
    <n v="0"/>
    <n v="0"/>
    <n v="4"/>
    <n v="4"/>
    <n v="1"/>
    <n v="1"/>
    <n v="4"/>
    <n v="4"/>
    <n v="4"/>
    <n v="4"/>
    <n v="1"/>
    <n v="0"/>
    <n v="0"/>
    <n v="4"/>
    <n v="4"/>
    <x v="8"/>
    <n v="4"/>
    <x v="8"/>
    <n v="4"/>
    <n v="4"/>
  </r>
  <r>
    <x v="1"/>
    <x v="1"/>
    <n v="5"/>
    <n v="0.83333333333333337"/>
    <n v="7.666666666666667"/>
    <n v="8.5"/>
    <n v="9"/>
    <n v="6"/>
    <n v="46"/>
    <n v="51"/>
    <n v="7.666666666666667"/>
    <n v="8.5"/>
    <n v="7"/>
    <n v="239"/>
    <n v="34.142857142857146"/>
    <n v="521"/>
    <n v="74.428571428571431"/>
    <x v="1"/>
    <n v="108.57142857142857"/>
    <x v="1"/>
    <n v="15.11904761904762"/>
    <n v="22.028571428571432"/>
  </r>
  <r>
    <x v="1"/>
    <x v="4"/>
    <n v="11"/>
    <n v="2.2000000000000002"/>
    <n v="10.199999999999999"/>
    <n v="12.4"/>
    <n v="7"/>
    <n v="5"/>
    <n v="51"/>
    <n v="62"/>
    <n v="10.199999999999999"/>
    <n v="12.4"/>
    <n v="6"/>
    <n v="83"/>
    <n v="13.833333333333334"/>
    <n v="231"/>
    <n v="38.5"/>
    <x v="4"/>
    <n v="52.333333333333336"/>
    <x v="4"/>
    <n v="9.8944444444444439"/>
    <n v="12.927777777777777"/>
  </r>
  <r>
    <x v="1"/>
    <x v="3"/>
    <n v="22"/>
    <n v="4.4000000000000004"/>
    <n v="8.8000000000000007"/>
    <n v="13.2"/>
    <n v="6"/>
    <n v="5"/>
    <n v="44"/>
    <n v="66"/>
    <n v="8.8000000000000007"/>
    <n v="13.2"/>
    <n v="6"/>
    <n v="45"/>
    <n v="7.5"/>
    <n v="121"/>
    <n v="20.166666666666668"/>
    <x v="3"/>
    <n v="27.666666666666668"/>
    <x v="3"/>
    <n v="11.966666666666667"/>
    <n v="15.700000000000001"/>
  </r>
  <r>
    <x v="1"/>
    <x v="0"/>
    <n v="1"/>
    <n v="0.33333333333333331"/>
    <n v="11"/>
    <n v="11.333333333333334"/>
    <n v="6"/>
    <n v="3"/>
    <n v="33"/>
    <n v="34"/>
    <n v="11"/>
    <n v="11.333333333333334"/>
    <n v="7"/>
    <n v="110"/>
    <n v="15.714285714285714"/>
    <n v="825"/>
    <n v="117.85714285714286"/>
    <x v="0"/>
    <n v="133.57142857142858"/>
    <x v="0"/>
    <n v="20.114739229024941"/>
    <n v="23.099092970521543"/>
  </r>
  <r>
    <x v="1"/>
    <x v="5"/>
    <n v="0"/>
    <n v="0"/>
    <n v="5"/>
    <n v="5"/>
    <n v="1"/>
    <n v="1"/>
    <n v="5"/>
    <n v="5"/>
    <n v="5"/>
    <n v="5"/>
    <n v="7"/>
    <n v="29"/>
    <n v="4.1428571428571432"/>
    <n v="145"/>
    <n v="20.714285714285715"/>
    <x v="9"/>
    <n v="24.857142857142858"/>
    <x v="5"/>
    <n v="9.9285714285714288"/>
    <n v="11.976190476190478"/>
  </r>
  <r>
    <x v="1"/>
    <x v="9"/>
    <n v="0"/>
    <n v="0"/>
    <n v="2"/>
    <n v="2"/>
    <n v="1"/>
    <n v="1"/>
    <n v="2"/>
    <n v="2"/>
    <n v="2"/>
    <n v="2"/>
    <n v="1"/>
    <n v="0"/>
    <n v="0"/>
    <n v="2"/>
    <n v="2"/>
    <x v="10"/>
    <n v="2"/>
    <x v="8"/>
    <n v="2"/>
    <n v="2"/>
  </r>
  <r>
    <x v="1"/>
    <x v="2"/>
    <n v="0"/>
    <n v="0"/>
    <n v="0"/>
    <n v="0"/>
    <n v="1"/>
    <n v="1"/>
    <n v="0"/>
    <n v="0"/>
    <n v="0"/>
    <n v="0"/>
    <n v="4"/>
    <n v="3"/>
    <n v="0.75"/>
    <n v="135"/>
    <n v="33.75"/>
    <x v="2"/>
    <n v="34.5"/>
    <x v="2"/>
    <n v="13.791666666666668"/>
    <n v="14.041666666666668"/>
  </r>
  <r>
    <x v="1"/>
    <x v="10"/>
    <n v="0"/>
    <n v="0"/>
    <n v="0"/>
    <n v="0"/>
    <n v="1"/>
    <n v="1"/>
    <n v="0"/>
    <n v="0"/>
    <n v="0"/>
    <n v="0"/>
    <n v="1"/>
    <n v="0"/>
    <n v="0"/>
    <n v="0"/>
    <n v="0"/>
    <x v="11"/>
    <n v="0"/>
    <x v="8"/>
    <n v="0"/>
    <n v="0"/>
  </r>
  <r>
    <x v="2"/>
    <x v="0"/>
    <n v="6"/>
    <n v="1"/>
    <n v="11.166666666666666"/>
    <n v="12.166666666666666"/>
    <n v="12"/>
    <n v="6"/>
    <n v="67"/>
    <n v="73"/>
    <n v="11.166666666666666"/>
    <n v="12.166666666666666"/>
    <n v="7"/>
    <n v="110"/>
    <n v="15.714285714285714"/>
    <n v="825"/>
    <n v="117.85714285714286"/>
    <x v="0"/>
    <n v="133.57142857142858"/>
    <x v="0"/>
    <n v="20.114739229024941"/>
    <n v="23.099092970521543"/>
  </r>
  <r>
    <x v="2"/>
    <x v="1"/>
    <n v="11"/>
    <n v="2.2000000000000002"/>
    <n v="15.8"/>
    <n v="18"/>
    <n v="6"/>
    <n v="5"/>
    <n v="79"/>
    <n v="90"/>
    <n v="15.8"/>
    <n v="18"/>
    <n v="7"/>
    <n v="239"/>
    <n v="34.142857142857146"/>
    <n v="521"/>
    <n v="74.428571428571431"/>
    <x v="1"/>
    <n v="108.57142857142857"/>
    <x v="1"/>
    <n v="15.11904761904762"/>
    <n v="22.028571428571432"/>
  </r>
  <r>
    <x v="2"/>
    <x v="6"/>
    <n v="54"/>
    <n v="10.8"/>
    <n v="12"/>
    <n v="22.8"/>
    <n v="6"/>
    <n v="5"/>
    <n v="60"/>
    <n v="114"/>
    <n v="12"/>
    <n v="22.8"/>
    <n v="6"/>
    <n v="124"/>
    <n v="20.666666666666668"/>
    <n v="141"/>
    <n v="23.5"/>
    <x v="6"/>
    <n v="44.166666666666664"/>
    <x v="6"/>
    <n v="8.75"/>
    <n v="17.341666666666665"/>
  </r>
  <r>
    <x v="2"/>
    <x v="4"/>
    <n v="12"/>
    <n v="4"/>
    <n v="7.333333333333333"/>
    <n v="11.333333333333334"/>
    <n v="4"/>
    <n v="3"/>
    <n v="22"/>
    <n v="34"/>
    <n v="7.333333333333333"/>
    <n v="11.333333333333334"/>
    <n v="6"/>
    <n v="83"/>
    <n v="13.833333333333334"/>
    <n v="231"/>
    <n v="38.5"/>
    <x v="4"/>
    <n v="52.333333333333336"/>
    <x v="4"/>
    <n v="9.8944444444444439"/>
    <n v="12.927777777777777"/>
  </r>
  <r>
    <x v="2"/>
    <x v="11"/>
    <n v="6"/>
    <n v="2"/>
    <n v="5.333333333333333"/>
    <n v="7.333333333333333"/>
    <n v="3"/>
    <n v="3"/>
    <n v="16"/>
    <n v="22"/>
    <n v="5.333333333333333"/>
    <n v="7.333333333333333"/>
    <n v="3"/>
    <n v="6"/>
    <n v="2"/>
    <n v="16"/>
    <n v="5.333333333333333"/>
    <x v="12"/>
    <n v="7.333333333333333"/>
    <x v="9"/>
    <n v="1.7777777777777777"/>
    <n v="2.4444444444444442"/>
  </r>
  <r>
    <x v="2"/>
    <x v="5"/>
    <n v="0"/>
    <n v="0"/>
    <n v="18"/>
    <n v="18"/>
    <n v="3"/>
    <n v="2"/>
    <n v="36"/>
    <n v="36"/>
    <n v="18"/>
    <n v="18"/>
    <n v="7"/>
    <n v="29"/>
    <n v="4.1428571428571432"/>
    <n v="145"/>
    <n v="20.714285714285715"/>
    <x v="9"/>
    <n v="24.857142857142858"/>
    <x v="5"/>
    <n v="9.9285714285714288"/>
    <n v="11.976190476190478"/>
  </r>
  <r>
    <x v="2"/>
    <x v="2"/>
    <n v="0"/>
    <n v="0"/>
    <n v="14.5"/>
    <n v="14.5"/>
    <n v="4"/>
    <n v="2"/>
    <n v="29"/>
    <n v="29"/>
    <n v="14.5"/>
    <n v="14.5"/>
    <n v="4"/>
    <n v="3"/>
    <n v="0.75"/>
    <n v="135"/>
    <n v="33.75"/>
    <x v="2"/>
    <n v="34.5"/>
    <x v="2"/>
    <n v="13.791666666666668"/>
    <n v="14.041666666666668"/>
  </r>
  <r>
    <x v="2"/>
    <x v="12"/>
    <n v="25"/>
    <n v="25"/>
    <n v="29"/>
    <n v="54"/>
    <n v="1"/>
    <n v="1"/>
    <n v="29"/>
    <n v="54"/>
    <n v="29"/>
    <n v="54"/>
    <n v="2"/>
    <n v="33"/>
    <n v="16.5"/>
    <n v="41"/>
    <n v="20.5"/>
    <x v="13"/>
    <n v="37"/>
    <x v="10"/>
    <n v="20.5"/>
    <n v="37"/>
  </r>
  <r>
    <x v="2"/>
    <x v="3"/>
    <n v="3"/>
    <n v="3"/>
    <n v="8"/>
    <n v="11"/>
    <n v="3"/>
    <n v="1"/>
    <n v="8"/>
    <n v="11"/>
    <n v="8"/>
    <n v="11"/>
    <n v="6"/>
    <n v="45"/>
    <n v="7.5"/>
    <n v="121"/>
    <n v="20.166666666666668"/>
    <x v="3"/>
    <n v="27.666666666666668"/>
    <x v="3"/>
    <n v="11.966666666666667"/>
    <n v="15.700000000000001"/>
  </r>
  <r>
    <x v="3"/>
    <x v="4"/>
    <n v="54"/>
    <n v="9"/>
    <n v="19.833333333333332"/>
    <n v="28.833333333333332"/>
    <n v="9"/>
    <n v="6"/>
    <n v="119"/>
    <n v="173"/>
    <n v="19.833333333333332"/>
    <n v="28.833333333333332"/>
    <n v="6"/>
    <n v="83"/>
    <n v="13.833333333333334"/>
    <n v="231"/>
    <n v="38.5"/>
    <x v="4"/>
    <n v="52.333333333333336"/>
    <x v="4"/>
    <n v="9.8944444444444439"/>
    <n v="12.927777777777777"/>
  </r>
  <r>
    <x v="3"/>
    <x v="1"/>
    <n v="65"/>
    <n v="10.833333333333334"/>
    <n v="15.666666666666666"/>
    <n v="26.5"/>
    <n v="8"/>
    <n v="6"/>
    <n v="94"/>
    <n v="159"/>
    <n v="15.666666666666666"/>
    <n v="26.5"/>
    <n v="7"/>
    <n v="239"/>
    <n v="34.142857142857146"/>
    <n v="521"/>
    <n v="74.428571428571431"/>
    <x v="1"/>
    <n v="108.57142857142857"/>
    <x v="1"/>
    <n v="15.11904761904762"/>
    <n v="22.028571428571432"/>
  </r>
  <r>
    <x v="3"/>
    <x v="0"/>
    <n v="24"/>
    <n v="4.8"/>
    <n v="20.6"/>
    <n v="25.4"/>
    <n v="9"/>
    <n v="5"/>
    <n v="103"/>
    <n v="127"/>
    <n v="20.6"/>
    <n v="25.4"/>
    <n v="7"/>
    <n v="110"/>
    <n v="15.714285714285714"/>
    <n v="825"/>
    <n v="117.85714285714286"/>
    <x v="0"/>
    <n v="133.57142857142858"/>
    <x v="0"/>
    <n v="20.114739229024941"/>
    <n v="23.099092970521543"/>
  </r>
  <r>
    <x v="3"/>
    <x v="6"/>
    <n v="13"/>
    <n v="3.25"/>
    <n v="6"/>
    <n v="9.25"/>
    <n v="4"/>
    <n v="4"/>
    <n v="24"/>
    <n v="37"/>
    <n v="6"/>
    <n v="9.25"/>
    <n v="6"/>
    <n v="124"/>
    <n v="20.666666666666668"/>
    <n v="141"/>
    <n v="23.5"/>
    <x v="6"/>
    <n v="44.166666666666664"/>
    <x v="6"/>
    <n v="8.75"/>
    <n v="17.341666666666665"/>
  </r>
  <r>
    <x v="3"/>
    <x v="5"/>
    <n v="6"/>
    <n v="3"/>
    <n v="12.5"/>
    <n v="15.5"/>
    <n v="3"/>
    <n v="2"/>
    <n v="25"/>
    <n v="31"/>
    <n v="12.5"/>
    <n v="15.5"/>
    <n v="7"/>
    <n v="29"/>
    <n v="4.1428571428571432"/>
    <n v="145"/>
    <n v="20.714285714285715"/>
    <x v="9"/>
    <n v="24.857142857142858"/>
    <x v="5"/>
    <n v="9.9285714285714288"/>
    <n v="11.976190476190478"/>
  </r>
  <r>
    <x v="3"/>
    <x v="3"/>
    <n v="5"/>
    <n v="5"/>
    <n v="21"/>
    <n v="26"/>
    <n v="1"/>
    <n v="1"/>
    <n v="21"/>
    <n v="26"/>
    <n v="21"/>
    <n v="26"/>
    <n v="6"/>
    <n v="45"/>
    <n v="7.5"/>
    <n v="121"/>
    <n v="20.166666666666668"/>
    <x v="3"/>
    <n v="27.666666666666668"/>
    <x v="3"/>
    <n v="11.966666666666667"/>
    <n v="15.700000000000001"/>
  </r>
  <r>
    <x v="3"/>
    <x v="7"/>
    <n v="6"/>
    <n v="6"/>
    <n v="15"/>
    <n v="21"/>
    <n v="1"/>
    <n v="1"/>
    <n v="15"/>
    <n v="21"/>
    <n v="15"/>
    <n v="21"/>
    <n v="3"/>
    <n v="6"/>
    <n v="2"/>
    <n v="20"/>
    <n v="6.666666666666667"/>
    <x v="7"/>
    <n v="8.6666666666666661"/>
    <x v="7"/>
    <n v="6.666666666666667"/>
    <n v="8.6666666666666661"/>
  </r>
  <r>
    <x v="3"/>
    <x v="12"/>
    <n v="8"/>
    <n v="8"/>
    <n v="12"/>
    <n v="20"/>
    <n v="1"/>
    <n v="1"/>
    <n v="12"/>
    <n v="20"/>
    <n v="12"/>
    <n v="20"/>
    <n v="2"/>
    <n v="33"/>
    <n v="16.5"/>
    <n v="41"/>
    <n v="20.5"/>
    <x v="13"/>
    <n v="37"/>
    <x v="10"/>
    <n v="20.5"/>
    <n v="37"/>
  </r>
  <r>
    <x v="3"/>
    <x v="11"/>
    <n v="0"/>
    <n v="0"/>
    <n v="0"/>
    <n v="0"/>
    <n v="3"/>
    <n v="0"/>
    <n v="0"/>
    <n v="0"/>
    <n v="0"/>
    <n v="0"/>
    <n v="3"/>
    <n v="6"/>
    <n v="2"/>
    <n v="16"/>
    <n v="5.333333333333333"/>
    <x v="12"/>
    <n v="7.333333333333333"/>
    <x v="9"/>
    <n v="1.7777777777777777"/>
    <n v="2.4444444444444442"/>
  </r>
  <r>
    <x v="4"/>
    <x v="1"/>
    <n v="31"/>
    <n v="6.2"/>
    <n v="13"/>
    <n v="19.2"/>
    <n v="11"/>
    <n v="5"/>
    <n v="65"/>
    <n v="96"/>
    <n v="13"/>
    <n v="19.2"/>
    <n v="7"/>
    <n v="239"/>
    <n v="34.142857142857146"/>
    <n v="521"/>
    <n v="74.428571428571431"/>
    <x v="1"/>
    <n v="108.57142857142857"/>
    <x v="1"/>
    <n v="15.11904761904762"/>
    <n v="22.028571428571432"/>
  </r>
  <r>
    <x v="4"/>
    <x v="0"/>
    <n v="24"/>
    <n v="8"/>
    <n v="37"/>
    <n v="45"/>
    <n v="6"/>
    <n v="3"/>
    <n v="111"/>
    <n v="135"/>
    <n v="37"/>
    <n v="45"/>
    <n v="7"/>
    <n v="110"/>
    <n v="15.714285714285714"/>
    <n v="825"/>
    <n v="117.85714285714286"/>
    <x v="0"/>
    <n v="133.57142857142858"/>
    <x v="0"/>
    <n v="20.114739229024941"/>
    <n v="23.099092970521543"/>
  </r>
  <r>
    <x v="4"/>
    <x v="5"/>
    <n v="7"/>
    <n v="2.3333333333333335"/>
    <n v="10.333333333333334"/>
    <n v="12.666666666666666"/>
    <n v="3"/>
    <n v="3"/>
    <n v="31"/>
    <n v="38"/>
    <n v="10.333333333333334"/>
    <n v="12.666666666666666"/>
    <n v="7"/>
    <n v="29"/>
    <n v="4.1428571428571432"/>
    <n v="145"/>
    <n v="20.714285714285715"/>
    <x v="9"/>
    <n v="24.857142857142858"/>
    <x v="5"/>
    <n v="9.9285714285714288"/>
    <n v="11.976190476190478"/>
  </r>
  <r>
    <x v="4"/>
    <x v="4"/>
    <n v="1"/>
    <n v="0.5"/>
    <n v="8"/>
    <n v="8.5"/>
    <n v="2"/>
    <n v="2"/>
    <n v="16"/>
    <n v="17"/>
    <n v="8"/>
    <n v="8.5"/>
    <n v="6"/>
    <n v="83"/>
    <n v="13.833333333333334"/>
    <n v="231"/>
    <n v="38.5"/>
    <x v="4"/>
    <n v="52.333333333333336"/>
    <x v="4"/>
    <n v="9.8944444444444439"/>
    <n v="12.927777777777777"/>
  </r>
  <r>
    <x v="4"/>
    <x v="6"/>
    <n v="23"/>
    <n v="11.5"/>
    <n v="6.5"/>
    <n v="18"/>
    <n v="2"/>
    <n v="2"/>
    <n v="13"/>
    <n v="36"/>
    <n v="6.5"/>
    <n v="18"/>
    <n v="6"/>
    <n v="124"/>
    <n v="20.666666666666668"/>
    <n v="141"/>
    <n v="23.5"/>
    <x v="6"/>
    <n v="44.166666666666664"/>
    <x v="6"/>
    <n v="8.75"/>
    <n v="17.341666666666665"/>
  </r>
  <r>
    <x v="4"/>
    <x v="3"/>
    <n v="2"/>
    <n v="2"/>
    <n v="6"/>
    <n v="8"/>
    <n v="2"/>
    <n v="1"/>
    <n v="6"/>
    <n v="8"/>
    <n v="6"/>
    <n v="8"/>
    <n v="6"/>
    <n v="45"/>
    <n v="7.5"/>
    <n v="121"/>
    <n v="20.166666666666668"/>
    <x v="3"/>
    <n v="27.666666666666668"/>
    <x v="3"/>
    <n v="11.966666666666667"/>
    <n v="15.700000000000001"/>
  </r>
  <r>
    <x v="4"/>
    <x v="13"/>
    <n v="0"/>
    <n v="0"/>
    <n v="0"/>
    <n v="0"/>
    <n v="0"/>
    <n v="0"/>
    <n v="0"/>
    <n v="0"/>
    <n v="0"/>
    <n v="0"/>
    <n v="1"/>
    <n v="0"/>
    <n v="0"/>
    <n v="0"/>
    <n v="0"/>
    <x v="11"/>
    <n v="0"/>
    <x v="8"/>
    <n v="0"/>
    <n v="0"/>
  </r>
  <r>
    <x v="5"/>
    <x v="0"/>
    <n v="9"/>
    <n v="1"/>
    <n v="22.222222222222221"/>
    <n v="23.222222222222221"/>
    <n v="11"/>
    <n v="9"/>
    <n v="200"/>
    <n v="209"/>
    <n v="22.222222222222221"/>
    <n v="23.222222222222221"/>
    <n v="7"/>
    <n v="110"/>
    <n v="15.714285714285714"/>
    <n v="825"/>
    <n v="117.85714285714286"/>
    <x v="0"/>
    <n v="133.57142857142858"/>
    <x v="0"/>
    <n v="20.114739229024941"/>
    <n v="23.099092970521543"/>
  </r>
  <r>
    <x v="5"/>
    <x v="2"/>
    <n v="3"/>
    <n v="1"/>
    <n v="24.666666666666668"/>
    <n v="25.666666666666668"/>
    <n v="3"/>
    <n v="3"/>
    <n v="74"/>
    <n v="77"/>
    <n v="24.666666666666668"/>
    <n v="25.666666666666668"/>
    <n v="4"/>
    <n v="3"/>
    <n v="0.75"/>
    <n v="135"/>
    <n v="33.75"/>
    <x v="2"/>
    <n v="34.5"/>
    <x v="2"/>
    <n v="13.791666666666668"/>
    <n v="14.041666666666668"/>
  </r>
  <r>
    <x v="5"/>
    <x v="1"/>
    <n v="32"/>
    <n v="10.666666666666666"/>
    <n v="21"/>
    <n v="31.666666666666668"/>
    <n v="10"/>
    <n v="3"/>
    <n v="63"/>
    <n v="95"/>
    <n v="21"/>
    <n v="31.666666666666668"/>
    <n v="7"/>
    <n v="239"/>
    <n v="34.142857142857146"/>
    <n v="521"/>
    <n v="74.428571428571431"/>
    <x v="1"/>
    <n v="108.57142857142857"/>
    <x v="1"/>
    <n v="15.11904761904762"/>
    <n v="22.028571428571432"/>
  </r>
  <r>
    <x v="5"/>
    <x v="14"/>
    <n v="12"/>
    <n v="4"/>
    <n v="8.6666666666666661"/>
    <n v="12.666666666666666"/>
    <n v="3"/>
    <n v="3"/>
    <n v="26"/>
    <n v="38"/>
    <n v="8.6666666666666661"/>
    <n v="12.666666666666666"/>
    <n v="1"/>
    <n v="12"/>
    <n v="12"/>
    <n v="26"/>
    <n v="26"/>
    <x v="14"/>
    <n v="38"/>
    <x v="11"/>
    <n v="8.6666666666666661"/>
    <n v="12.666666666666666"/>
  </r>
  <r>
    <x v="5"/>
    <x v="6"/>
    <n v="12"/>
    <n v="4"/>
    <n v="8"/>
    <n v="12"/>
    <n v="3"/>
    <n v="3"/>
    <n v="24"/>
    <n v="36"/>
    <n v="8"/>
    <n v="12"/>
    <n v="6"/>
    <n v="124"/>
    <n v="20.666666666666668"/>
    <n v="141"/>
    <n v="23.5"/>
    <x v="6"/>
    <n v="44.166666666666664"/>
    <x v="6"/>
    <n v="8.75"/>
    <n v="17.341666666666665"/>
  </r>
  <r>
    <x v="5"/>
    <x v="5"/>
    <n v="6"/>
    <n v="3"/>
    <n v="5"/>
    <n v="8"/>
    <n v="2"/>
    <n v="2"/>
    <n v="10"/>
    <n v="16"/>
    <n v="5"/>
    <n v="8"/>
    <n v="7"/>
    <n v="29"/>
    <n v="4.1428571428571432"/>
    <n v="145"/>
    <n v="20.714285714285715"/>
    <x v="9"/>
    <n v="24.857142857142858"/>
    <x v="5"/>
    <n v="9.9285714285714288"/>
    <n v="11.976190476190478"/>
  </r>
  <r>
    <x v="5"/>
    <x v="15"/>
    <n v="0"/>
    <n v="0"/>
    <n v="29"/>
    <n v="29"/>
    <n v="1"/>
    <n v="1"/>
    <n v="29"/>
    <n v="29"/>
    <n v="29"/>
    <n v="29"/>
    <n v="1"/>
    <n v="0"/>
    <n v="0"/>
    <n v="29"/>
    <n v="29"/>
    <x v="15"/>
    <n v="29"/>
    <x v="8"/>
    <n v="29"/>
    <n v="29"/>
  </r>
  <r>
    <x v="5"/>
    <x v="3"/>
    <n v="3"/>
    <n v="3"/>
    <n v="14"/>
    <n v="17"/>
    <n v="1"/>
    <n v="1"/>
    <n v="14"/>
    <n v="17"/>
    <n v="14"/>
    <n v="17"/>
    <n v="6"/>
    <n v="45"/>
    <n v="7.5"/>
    <n v="121"/>
    <n v="20.166666666666668"/>
    <x v="3"/>
    <n v="27.666666666666668"/>
    <x v="3"/>
    <n v="11.966666666666667"/>
    <n v="15.700000000000001"/>
  </r>
  <r>
    <x v="5"/>
    <x v="4"/>
    <n v="0"/>
    <n v="0"/>
    <n v="5"/>
    <n v="5"/>
    <n v="1"/>
    <n v="1"/>
    <n v="5"/>
    <n v="5"/>
    <n v="5"/>
    <n v="5"/>
    <n v="6"/>
    <n v="83"/>
    <n v="13.833333333333334"/>
    <n v="231"/>
    <n v="38.5"/>
    <x v="4"/>
    <n v="52.333333333333336"/>
    <x v="4"/>
    <n v="9.8944444444444439"/>
    <n v="12.927777777777777"/>
  </r>
  <r>
    <x v="5"/>
    <x v="7"/>
    <n v="0"/>
    <n v="0"/>
    <n v="0"/>
    <n v="0"/>
    <n v="1"/>
    <n v="0"/>
    <n v="0"/>
    <n v="0"/>
    <n v="0"/>
    <n v="0"/>
    <n v="3"/>
    <n v="6"/>
    <n v="2"/>
    <n v="20"/>
    <n v="6.666666666666667"/>
    <x v="7"/>
    <n v="8.6666666666666661"/>
    <x v="7"/>
    <n v="6.666666666666667"/>
    <n v="8.6666666666666661"/>
  </r>
  <r>
    <x v="6"/>
    <x v="0"/>
    <n v="19"/>
    <n v="1.9"/>
    <n v="13.1"/>
    <n v="15"/>
    <n v="13"/>
    <n v="10"/>
    <n v="131"/>
    <n v="150"/>
    <n v="13.1"/>
    <n v="15"/>
    <n v="7"/>
    <n v="110"/>
    <n v="15.714285714285714"/>
    <n v="825"/>
    <n v="117.85714285714286"/>
    <x v="0"/>
    <n v="133.57142857142858"/>
    <x v="0"/>
    <n v="20.114739229024941"/>
    <n v="23.099092970521543"/>
  </r>
  <r>
    <x v="6"/>
    <x v="1"/>
    <n v="41"/>
    <n v="6.833333333333333"/>
    <n v="10.5"/>
    <n v="17.333333333333332"/>
    <n v="8"/>
    <n v="6"/>
    <n v="63"/>
    <n v="104"/>
    <n v="10.5"/>
    <n v="17.333333333333332"/>
    <n v="7"/>
    <n v="239"/>
    <n v="34.142857142857146"/>
    <n v="521"/>
    <n v="74.428571428571431"/>
    <x v="1"/>
    <n v="108.57142857142857"/>
    <x v="1"/>
    <n v="15.11904761904762"/>
    <n v="22.028571428571432"/>
  </r>
  <r>
    <x v="6"/>
    <x v="5"/>
    <n v="6"/>
    <n v="2"/>
    <n v="9.6666666666666661"/>
    <n v="11.666666666666666"/>
    <n v="4"/>
    <n v="3"/>
    <n v="29"/>
    <n v="35"/>
    <n v="9.6666666666666661"/>
    <n v="11.666666666666666"/>
    <n v="7"/>
    <n v="29"/>
    <n v="4.1428571428571432"/>
    <n v="145"/>
    <n v="20.714285714285715"/>
    <x v="9"/>
    <n v="24.857142857142858"/>
    <x v="5"/>
    <n v="9.9285714285714288"/>
    <n v="11.976190476190478"/>
  </r>
  <r>
    <x v="6"/>
    <x v="16"/>
    <n v="23"/>
    <n v="7.666666666666667"/>
    <n v="9.3333333333333339"/>
    <n v="17"/>
    <n v="3"/>
    <n v="3"/>
    <n v="28"/>
    <n v="51"/>
    <n v="9.3333333333333339"/>
    <n v="17"/>
    <n v="1"/>
    <n v="23"/>
    <n v="23"/>
    <n v="28"/>
    <n v="28"/>
    <x v="16"/>
    <n v="51"/>
    <x v="12"/>
    <n v="9.3333333333333339"/>
    <n v="17"/>
  </r>
  <r>
    <x v="6"/>
    <x v="6"/>
    <n v="9"/>
    <n v="9"/>
    <n v="12"/>
    <n v="21"/>
    <n v="1"/>
    <n v="1"/>
    <n v="12"/>
    <n v="21"/>
    <n v="12"/>
    <n v="21"/>
    <n v="6"/>
    <n v="124"/>
    <n v="20.666666666666668"/>
    <n v="141"/>
    <n v="23.5"/>
    <x v="6"/>
    <n v="44.166666666666664"/>
    <x v="6"/>
    <n v="8.75"/>
    <n v="17.341666666666665"/>
  </r>
  <r>
    <x v="6"/>
    <x v="17"/>
    <n v="0"/>
    <n v="0"/>
    <n v="6"/>
    <n v="6"/>
    <n v="1"/>
    <n v="1"/>
    <n v="6"/>
    <n v="6"/>
    <n v="6"/>
    <n v="6"/>
    <n v="1"/>
    <n v="0"/>
    <n v="0"/>
    <n v="6"/>
    <n v="6"/>
    <x v="17"/>
    <n v="6"/>
    <x v="8"/>
    <n v="6"/>
    <n v="6"/>
  </r>
  <r>
    <x v="6"/>
    <x v="11"/>
    <n v="0"/>
    <n v="0"/>
    <n v="0"/>
    <n v="0"/>
    <n v="1"/>
    <n v="0"/>
    <n v="0"/>
    <n v="0"/>
    <n v="0"/>
    <n v="0"/>
    <n v="3"/>
    <n v="6"/>
    <n v="2"/>
    <n v="16"/>
    <n v="5.333333333333333"/>
    <x v="12"/>
    <n v="7.333333333333333"/>
    <x v="9"/>
    <n v="1.7777777777777777"/>
    <n v="2.44444444444444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A758F-BC69-4490-B454-168B3F423025}" name="PivotTable1" cacheId="1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41" firstHeaderRow="1" firstDataRow="1" firstDataCol="2"/>
  <pivotFields count="17">
    <pivotField compact="0" outline="0" showAll="0"/>
    <pivotField axis="axisRow" compact="0" outline="0" showAll="0">
      <items count="19">
        <item x="11"/>
        <item x="6"/>
        <item x="17"/>
        <item x="4"/>
        <item x="13"/>
        <item x="10"/>
        <item x="7"/>
        <item x="16"/>
        <item x="15"/>
        <item x="5"/>
        <item x="14"/>
        <item x="2"/>
        <item x="12"/>
        <item x="1"/>
        <item x="0"/>
        <item x="9"/>
        <item x="3"/>
        <item x="8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8"/>
        <item x="2"/>
        <item x="7"/>
        <item x="9"/>
        <item x="3"/>
        <item x="5"/>
        <item x="11"/>
        <item x="4"/>
        <item x="0"/>
        <item x="10"/>
        <item x="6"/>
        <item x="1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12"/>
  </rowFields>
  <rowItems count="38">
    <i>
      <x/>
      <x v="2"/>
    </i>
    <i t="default">
      <x/>
    </i>
    <i>
      <x v="1"/>
      <x v="10"/>
    </i>
    <i t="default">
      <x v="1"/>
    </i>
    <i>
      <x v="2"/>
      <x/>
    </i>
    <i t="default">
      <x v="2"/>
    </i>
    <i>
      <x v="3"/>
      <x v="7"/>
    </i>
    <i t="default">
      <x v="3"/>
    </i>
    <i>
      <x v="4"/>
      <x/>
    </i>
    <i t="default">
      <x v="4"/>
    </i>
    <i>
      <x v="5"/>
      <x/>
    </i>
    <i t="default">
      <x v="5"/>
    </i>
    <i>
      <x v="6"/>
      <x v="2"/>
    </i>
    <i t="default">
      <x v="6"/>
    </i>
    <i>
      <x v="7"/>
      <x v="11"/>
    </i>
    <i t="default">
      <x v="7"/>
    </i>
    <i>
      <x v="8"/>
      <x/>
    </i>
    <i t="default">
      <x v="8"/>
    </i>
    <i>
      <x v="9"/>
      <x v="3"/>
    </i>
    <i r="1">
      <x v="5"/>
    </i>
    <i t="default">
      <x v="9"/>
    </i>
    <i>
      <x v="10"/>
      <x v="6"/>
    </i>
    <i t="default">
      <x v="10"/>
    </i>
    <i>
      <x v="11"/>
      <x v="1"/>
    </i>
    <i t="default">
      <x v="11"/>
    </i>
    <i>
      <x v="12"/>
      <x v="9"/>
    </i>
    <i t="default">
      <x v="12"/>
    </i>
    <i>
      <x v="13"/>
      <x v="12"/>
    </i>
    <i t="default">
      <x v="13"/>
    </i>
    <i>
      <x v="14"/>
      <x v="8"/>
    </i>
    <i t="default">
      <x v="14"/>
    </i>
    <i>
      <x v="15"/>
      <x/>
    </i>
    <i t="default">
      <x v="15"/>
    </i>
    <i>
      <x v="16"/>
      <x v="4"/>
    </i>
    <i t="default">
      <x v="16"/>
    </i>
    <i>
      <x v="17"/>
      <x/>
    </i>
    <i t="default">
      <x v="17"/>
    </i>
    <i t="grand">
      <x/>
    </i>
  </rowItems>
  <colItems count="1">
    <i/>
  </colItem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830D7-E289-4205-83D7-7E7FCA284669}" name="PivotTable2" cacheId="1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39" firstHeaderRow="1" firstDataRow="1" firstDataCol="2"/>
  <pivotFields count="22">
    <pivotField compact="0" outline="0" showAll="0"/>
    <pivotField axis="axisRow" compact="0" outline="0" showAll="0">
      <items count="19">
        <item x="11"/>
        <item x="6"/>
        <item x="17"/>
        <item x="4"/>
        <item x="13"/>
        <item x="10"/>
        <item x="7"/>
        <item x="16"/>
        <item x="15"/>
        <item x="5"/>
        <item x="14"/>
        <item x="2"/>
        <item x="12"/>
        <item x="1"/>
        <item x="0"/>
        <item x="9"/>
        <item x="3"/>
        <item x="8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8"/>
        <item x="2"/>
        <item x="9"/>
        <item x="7"/>
        <item x="5"/>
        <item x="0"/>
        <item x="4"/>
        <item x="3"/>
        <item x="11"/>
        <item x="1"/>
        <item x="12"/>
        <item x="6"/>
        <item x="10"/>
        <item t="default"/>
      </items>
    </pivotField>
    <pivotField compact="0" outline="0" showAll="0"/>
    <pivotField compact="0" outline="0" showAll="0"/>
  </pivotFields>
  <rowFields count="2">
    <field x="1"/>
    <field x="19"/>
  </rowFields>
  <rowItems count="37">
    <i>
      <x/>
      <x v="2"/>
    </i>
    <i t="default">
      <x/>
    </i>
    <i>
      <x v="1"/>
      <x v="11"/>
    </i>
    <i t="default">
      <x v="1"/>
    </i>
    <i>
      <x v="2"/>
      <x/>
    </i>
    <i t="default">
      <x v="2"/>
    </i>
    <i>
      <x v="3"/>
      <x v="6"/>
    </i>
    <i t="default">
      <x v="3"/>
    </i>
    <i>
      <x v="4"/>
      <x/>
    </i>
    <i t="default">
      <x v="4"/>
    </i>
    <i>
      <x v="5"/>
      <x/>
    </i>
    <i t="default">
      <x v="5"/>
    </i>
    <i>
      <x v="6"/>
      <x v="3"/>
    </i>
    <i t="default">
      <x v="6"/>
    </i>
    <i>
      <x v="7"/>
      <x v="10"/>
    </i>
    <i t="default">
      <x v="7"/>
    </i>
    <i>
      <x v="8"/>
      <x/>
    </i>
    <i t="default">
      <x v="8"/>
    </i>
    <i>
      <x v="9"/>
      <x v="4"/>
    </i>
    <i t="default">
      <x v="9"/>
    </i>
    <i>
      <x v="10"/>
      <x v="8"/>
    </i>
    <i t="default">
      <x v="10"/>
    </i>
    <i>
      <x v="11"/>
      <x v="1"/>
    </i>
    <i t="default">
      <x v="11"/>
    </i>
    <i>
      <x v="12"/>
      <x v="12"/>
    </i>
    <i t="default">
      <x v="12"/>
    </i>
    <i>
      <x v="13"/>
      <x v="9"/>
    </i>
    <i t="default">
      <x v="13"/>
    </i>
    <i>
      <x v="14"/>
      <x v="5"/>
    </i>
    <i t="default">
      <x v="14"/>
    </i>
    <i>
      <x v="15"/>
      <x/>
    </i>
    <i t="default">
      <x v="15"/>
    </i>
    <i>
      <x v="16"/>
      <x v="7"/>
    </i>
    <i t="default">
      <x v="16"/>
    </i>
    <i>
      <x v="17"/>
      <x/>
    </i>
    <i t="default"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DB26B-D8D4-4825-9858-CECE50DF3C9E}" name="PivotTable3" cacheId="1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D80" firstHeaderRow="0" firstDataRow="1" firstDataCol="2"/>
  <pivotFields count="22">
    <pivotField axis="axisRow" compact="0" outline="0" showAll="0">
      <items count="8">
        <item x="1"/>
        <item x="0"/>
        <item x="6"/>
        <item x="4"/>
        <item x="2"/>
        <item x="3"/>
        <item x="5"/>
        <item t="default"/>
      </items>
    </pivotField>
    <pivotField axis="axisRow" compact="0" outline="0" showAll="0">
      <items count="19">
        <item x="11"/>
        <item x="6"/>
        <item x="17"/>
        <item x="4"/>
        <item x="13"/>
        <item x="10"/>
        <item x="7"/>
        <item x="16"/>
        <item x="15"/>
        <item x="5"/>
        <item x="14"/>
        <item x="2"/>
        <item x="12"/>
        <item x="1"/>
        <item x="0"/>
        <item x="9"/>
        <item x="3"/>
        <item x="8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0"/>
  </rowFields>
  <rowItems count="78">
    <i>
      <x/>
      <x v="2"/>
    </i>
    <i r="1">
      <x v="4"/>
    </i>
    <i r="1">
      <x v="5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 v="2"/>
    </i>
    <i t="default">
      <x v="2"/>
    </i>
    <i>
      <x v="3"/>
      <x/>
    </i>
    <i r="1">
      <x v="1"/>
    </i>
    <i r="1">
      <x v="3"/>
    </i>
    <i r="1">
      <x v="4"/>
    </i>
    <i r="1">
      <x v="5"/>
    </i>
    <i r="1">
      <x v="6"/>
    </i>
    <i t="default">
      <x v="3"/>
    </i>
    <i>
      <x v="4"/>
      <x v="3"/>
    </i>
    <i t="default">
      <x v="4"/>
    </i>
    <i>
      <x v="5"/>
      <x/>
    </i>
    <i t="default">
      <x v="5"/>
    </i>
    <i>
      <x v="6"/>
      <x v="1"/>
    </i>
    <i r="1">
      <x v="5"/>
    </i>
    <i r="1">
      <x v="6"/>
    </i>
    <i t="default">
      <x v="6"/>
    </i>
    <i>
      <x v="7"/>
      <x v="2"/>
    </i>
    <i t="default">
      <x v="7"/>
    </i>
    <i>
      <x v="8"/>
      <x v="6"/>
    </i>
    <i t="default">
      <x v="8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9"/>
    </i>
    <i>
      <x v="10"/>
      <x v="6"/>
    </i>
    <i t="default">
      <x v="10"/>
    </i>
    <i>
      <x v="11"/>
      <x/>
    </i>
    <i r="1">
      <x v="1"/>
    </i>
    <i r="1">
      <x v="4"/>
    </i>
    <i r="1">
      <x v="6"/>
    </i>
    <i t="default">
      <x v="11"/>
    </i>
    <i>
      <x v="12"/>
      <x v="4"/>
    </i>
    <i r="1">
      <x v="5"/>
    </i>
    <i t="default">
      <x v="12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3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4"/>
    </i>
    <i>
      <x v="15"/>
      <x/>
    </i>
    <i t="default">
      <x v="15"/>
    </i>
    <i>
      <x v="16"/>
      <x/>
    </i>
    <i r="1">
      <x v="1"/>
    </i>
    <i r="1">
      <x v="3"/>
    </i>
    <i r="1">
      <x v="4"/>
    </i>
    <i r="1">
      <x v="5"/>
    </i>
    <i r="1">
      <x v="6"/>
    </i>
    <i t="default">
      <x v="16"/>
    </i>
    <i>
      <x v="17"/>
      <x v="1"/>
    </i>
    <i t="default"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yardsgame" fld="8" baseField="0" baseItem="0"/>
    <dataField name="Sum of recgam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7E027-CE4D-454D-9ECB-52479A9854BE}" name="PivotTable4" cacheId="1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40" firstHeaderRow="1" firstDataRow="1" firstDataCol="2"/>
  <pivotFields count="22">
    <pivotField compact="0" outline="0" showAll="0"/>
    <pivotField axis="axisRow" compact="0" outline="0" showAll="0">
      <items count="19">
        <item x="11"/>
        <item x="6"/>
        <item x="17"/>
        <item x="4"/>
        <item x="13"/>
        <item x="10"/>
        <item x="7"/>
        <item x="16"/>
        <item x="15"/>
        <item x="5"/>
        <item x="14"/>
        <item x="2"/>
        <item x="12"/>
        <item x="1"/>
        <item x="0"/>
        <item x="9"/>
        <item x="3"/>
        <item x="8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9">
        <item x="11"/>
        <item x="10"/>
        <item x="8"/>
        <item x="17"/>
        <item x="12"/>
        <item x="7"/>
        <item x="15"/>
        <item x="14"/>
        <item x="16"/>
        <item x="13"/>
        <item x="2"/>
        <item x="3"/>
        <item x="9"/>
        <item x="5"/>
        <item x="6"/>
        <item x="4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17"/>
  </rowFields>
  <rowItems count="38">
    <i>
      <x/>
      <x v="4"/>
    </i>
    <i t="default">
      <x/>
    </i>
    <i>
      <x v="1"/>
      <x v="14"/>
    </i>
    <i t="default">
      <x v="1"/>
    </i>
    <i>
      <x v="2"/>
      <x v="3"/>
    </i>
    <i t="default">
      <x v="2"/>
    </i>
    <i>
      <x v="3"/>
      <x v="15"/>
    </i>
    <i t="default">
      <x v="3"/>
    </i>
    <i>
      <x v="4"/>
      <x/>
    </i>
    <i t="default">
      <x v="4"/>
    </i>
    <i>
      <x v="5"/>
      <x/>
    </i>
    <i t="default">
      <x v="5"/>
    </i>
    <i>
      <x v="6"/>
      <x v="5"/>
    </i>
    <i t="default">
      <x v="6"/>
    </i>
    <i>
      <x v="7"/>
      <x v="8"/>
    </i>
    <i t="default">
      <x v="7"/>
    </i>
    <i>
      <x v="8"/>
      <x v="6"/>
    </i>
    <i t="default">
      <x v="8"/>
    </i>
    <i>
      <x v="9"/>
      <x v="12"/>
    </i>
    <i r="1">
      <x v="13"/>
    </i>
    <i t="default">
      <x v="9"/>
    </i>
    <i>
      <x v="10"/>
      <x v="7"/>
    </i>
    <i t="default">
      <x v="10"/>
    </i>
    <i>
      <x v="11"/>
      <x v="10"/>
    </i>
    <i t="default">
      <x v="11"/>
    </i>
    <i>
      <x v="12"/>
      <x v="9"/>
    </i>
    <i t="default">
      <x v="12"/>
    </i>
    <i>
      <x v="13"/>
      <x v="16"/>
    </i>
    <i t="default">
      <x v="13"/>
    </i>
    <i>
      <x v="14"/>
      <x v="17"/>
    </i>
    <i t="default">
      <x v="14"/>
    </i>
    <i>
      <x v="15"/>
      <x v="1"/>
    </i>
    <i t="default">
      <x v="15"/>
    </i>
    <i>
      <x v="16"/>
      <x v="11"/>
    </i>
    <i t="default">
      <x v="16"/>
    </i>
    <i>
      <x v="17"/>
      <x v="2"/>
    </i>
    <i t="default"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topLeftCell="K1" workbookViewId="0">
      <selection activeCell="U20" sqref="U20"/>
    </sheetView>
  </sheetViews>
  <sheetFormatPr defaultRowHeight="15"/>
  <cols>
    <col min="2" max="2" width="22.5703125" customWidth="1"/>
    <col min="3" max="3" width="14.85546875" customWidth="1"/>
    <col min="4" max="4" width="31.140625" style="1" customWidth="1"/>
    <col min="5" max="6" width="40.7109375" style="1" customWidth="1"/>
    <col min="7" max="7" width="14.42578125" customWidth="1"/>
    <col min="9" max="9" width="10.7109375" customWidth="1"/>
    <col min="10" max="10" width="24.140625" customWidth="1"/>
    <col min="11" max="11" width="27.7109375" customWidth="1"/>
    <col min="12" max="12" width="33.140625" customWidth="1"/>
    <col min="13" max="13" width="31.140625" customWidth="1"/>
    <col min="14" max="14" width="17.42578125" customWidth="1"/>
    <col min="15" max="15" width="50.42578125" customWidth="1"/>
    <col min="16" max="16" width="51.42578125" customWidth="1"/>
    <col min="17" max="17" width="26.5703125" customWidth="1"/>
    <col min="18" max="18" width="18.28515625" customWidth="1"/>
    <col min="19" max="19" width="38.5703125" customWidth="1"/>
    <col min="20" max="20" width="43.85546875" customWidth="1"/>
    <col min="21" max="21" width="50.85546875" customWidth="1"/>
    <col min="22" max="22" width="42.85546875" customWidth="1"/>
  </cols>
  <sheetData>
    <row r="1" spans="1:22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 spans="1:22">
      <c r="A2" s="12" t="s">
        <v>22</v>
      </c>
      <c r="B2" s="13" t="s">
        <v>23</v>
      </c>
      <c r="C2" s="5">
        <v>27</v>
      </c>
      <c r="D2" s="14">
        <f>C2/H2</f>
        <v>3.8571428571428572</v>
      </c>
      <c r="E2" s="14">
        <f>I2/H2</f>
        <v>25.714285714285715</v>
      </c>
      <c r="F2" s="14">
        <f>J2/H2</f>
        <v>29.571428571428573</v>
      </c>
      <c r="G2" s="5">
        <v>9</v>
      </c>
      <c r="H2" s="5">
        <v>7</v>
      </c>
      <c r="I2" s="5">
        <v>180</v>
      </c>
      <c r="J2" s="5">
        <f>C2+I2</f>
        <v>207</v>
      </c>
      <c r="K2" s="5">
        <f>I2/H2</f>
        <v>25.714285714285715</v>
      </c>
      <c r="L2" s="5">
        <f>J2/H2</f>
        <v>29.571428571428573</v>
      </c>
      <c r="M2" s="5">
        <f>COUNTIF(B2:B60,"Payton Rose")</f>
        <v>7</v>
      </c>
      <c r="N2" s="5">
        <f>SUMIF(B2:B60,"Payton Rose",C2:C60)</f>
        <v>110</v>
      </c>
      <c r="O2" s="5">
        <f>N2/M2</f>
        <v>15.714285714285714</v>
      </c>
      <c r="P2" s="5">
        <f>SUMIF(B2:B60, B2, I2:I60)</f>
        <v>825</v>
      </c>
      <c r="Q2" s="5">
        <f>P2/M2</f>
        <v>117.85714285714286</v>
      </c>
      <c r="R2" s="5">
        <f>N2+P2</f>
        <v>935</v>
      </c>
      <c r="S2" s="5">
        <f>R2/M2</f>
        <v>133.57142857142858</v>
      </c>
      <c r="T2" s="5">
        <f>AVERAGEIF(B2:B60,B2,D2:D60)</f>
        <v>2.9843537414965984</v>
      </c>
      <c r="U2" s="5">
        <f ca="1">AVERAGEIF(B2:B60,B2,E2:E20)</f>
        <v>20.114739229024941</v>
      </c>
      <c r="V2" s="5">
        <f>AVERAGEIF(B2:B60,B2,F2:F60)</f>
        <v>23.099092970521543</v>
      </c>
    </row>
    <row r="3" spans="1:22">
      <c r="A3" s="12" t="s">
        <v>22</v>
      </c>
      <c r="B3" s="13" t="s">
        <v>24</v>
      </c>
      <c r="C3" s="5">
        <v>54</v>
      </c>
      <c r="D3" s="14">
        <f>C3/H3</f>
        <v>10.8</v>
      </c>
      <c r="E3" s="14">
        <f>I3/H3</f>
        <v>22.2</v>
      </c>
      <c r="F3" s="14">
        <f t="shared" ref="F3:F60" si="0">J3/H3</f>
        <v>33</v>
      </c>
      <c r="G3" s="5">
        <v>8</v>
      </c>
      <c r="H3" s="5">
        <v>5</v>
      </c>
      <c r="I3" s="5">
        <v>111</v>
      </c>
      <c r="J3" s="5">
        <f>C3+I3</f>
        <v>165</v>
      </c>
      <c r="K3" s="5">
        <f t="shared" ref="K3:K36" si="1">I3/H3</f>
        <v>22.2</v>
      </c>
      <c r="L3" s="5">
        <f t="shared" ref="L3:L60" si="2">J3/H3</f>
        <v>33</v>
      </c>
      <c r="M3" s="5">
        <f>COUNTIF(B2:B60,"Kobe Smith")</f>
        <v>7</v>
      </c>
      <c r="N3" s="5">
        <f>SUMIF(B2:B60,"Kobe Smith",C2:C60)</f>
        <v>239</v>
      </c>
      <c r="O3" s="5">
        <f t="shared" ref="O3:O60" si="3">N3/M3</f>
        <v>34.142857142857146</v>
      </c>
      <c r="P3" s="5">
        <f>SUMIF(B2:B60, B3, I2:I60)</f>
        <v>521</v>
      </c>
      <c r="Q3" s="5">
        <f t="shared" ref="Q3:Q60" si="4">P3/M3</f>
        <v>74.428571428571431</v>
      </c>
      <c r="R3" s="5">
        <f>N3+P3</f>
        <v>760</v>
      </c>
      <c r="S3" s="5">
        <f t="shared" ref="S3:S60" si="5">R3/M3</f>
        <v>108.57142857142857</v>
      </c>
      <c r="T3" s="5">
        <f>AVERAGEIF(B2:B60,B3,D2:D60)</f>
        <v>6.9095238095238107</v>
      </c>
      <c r="U3" s="5">
        <f ca="1">AVERAGEIF(B2:B60,B3,E2:E20)</f>
        <v>15.11904761904762</v>
      </c>
      <c r="V3" s="5">
        <f>AVERAGEIF(B2:B60,B3,F2:F60)</f>
        <v>22.028571428571432</v>
      </c>
    </row>
    <row r="4" spans="1:22">
      <c r="A4" s="12" t="s">
        <v>22</v>
      </c>
      <c r="B4" s="13" t="s">
        <v>25</v>
      </c>
      <c r="C4" s="5">
        <v>0</v>
      </c>
      <c r="D4" s="14">
        <f>C4/H4</f>
        <v>0</v>
      </c>
      <c r="E4" s="14">
        <f>I4/H4</f>
        <v>16</v>
      </c>
      <c r="F4" s="14">
        <f t="shared" si="0"/>
        <v>16</v>
      </c>
      <c r="G4" s="5">
        <v>3</v>
      </c>
      <c r="H4" s="5">
        <v>2</v>
      </c>
      <c r="I4" s="5">
        <v>32</v>
      </c>
      <c r="J4" s="5">
        <f>C4+I4</f>
        <v>32</v>
      </c>
      <c r="K4" s="5">
        <f t="shared" si="1"/>
        <v>16</v>
      </c>
      <c r="L4" s="5">
        <f t="shared" si="2"/>
        <v>16</v>
      </c>
      <c r="M4" s="5">
        <f>COUNTIF(B2:B60,"Jeff Caldwell")</f>
        <v>4</v>
      </c>
      <c r="N4" s="5">
        <f>SUMIF(B2:B60,B4,C2:C60)</f>
        <v>3</v>
      </c>
      <c r="O4" s="5">
        <f t="shared" si="3"/>
        <v>0.75</v>
      </c>
      <c r="P4" s="5">
        <f>SUMIF(B2:B60, B4, I2:I60)</f>
        <v>135</v>
      </c>
      <c r="Q4" s="5">
        <f t="shared" si="4"/>
        <v>33.75</v>
      </c>
      <c r="R4" s="5">
        <f t="shared" ref="R4:R60" si="6">N4+P4</f>
        <v>138</v>
      </c>
      <c r="S4" s="5">
        <f t="shared" si="5"/>
        <v>34.5</v>
      </c>
      <c r="T4" s="5">
        <f>AVERAGEIF(B2:B60,B4,D2:D60)</f>
        <v>0.25</v>
      </c>
      <c r="U4" s="5">
        <f ca="1">AVERAGEIF(B2:B60,B4,E2:E20)</f>
        <v>13.791666666666668</v>
      </c>
      <c r="V4" s="5">
        <f>AVERAGEIF(B2:B60,B4,F2:F60)</f>
        <v>14.041666666666668</v>
      </c>
    </row>
    <row r="5" spans="1:22">
      <c r="A5" s="12" t="s">
        <v>22</v>
      </c>
      <c r="B5" s="13" t="s">
        <v>26</v>
      </c>
      <c r="C5" s="5">
        <v>10</v>
      </c>
      <c r="D5" s="14">
        <f>C5/H5</f>
        <v>5</v>
      </c>
      <c r="E5" s="14">
        <f>I5/H5</f>
        <v>14</v>
      </c>
      <c r="F5" s="14">
        <f t="shared" si="0"/>
        <v>19</v>
      </c>
      <c r="G5" s="5">
        <v>5</v>
      </c>
      <c r="H5" s="5">
        <v>2</v>
      </c>
      <c r="I5" s="5">
        <v>28</v>
      </c>
      <c r="J5" s="5">
        <f>C5+I5</f>
        <v>38</v>
      </c>
      <c r="K5" s="5">
        <f t="shared" si="1"/>
        <v>14</v>
      </c>
      <c r="L5" s="5">
        <f t="shared" si="2"/>
        <v>19</v>
      </c>
      <c r="M5" s="5">
        <f>COUNTIF(B2:B60, "Spencer Redd")</f>
        <v>6</v>
      </c>
      <c r="N5" s="5">
        <f>SUMIF(B2:B60,B5,C2:C60)</f>
        <v>45</v>
      </c>
      <c r="O5" s="5">
        <f t="shared" si="3"/>
        <v>7.5</v>
      </c>
      <c r="P5" s="5">
        <f>SUMIF(B2:B60, B5, I2:I60)</f>
        <v>121</v>
      </c>
      <c r="Q5" s="5">
        <f t="shared" si="4"/>
        <v>20.166666666666668</v>
      </c>
      <c r="R5" s="5">
        <f t="shared" si="6"/>
        <v>166</v>
      </c>
      <c r="S5" s="5">
        <f t="shared" si="5"/>
        <v>27.666666666666668</v>
      </c>
      <c r="T5" s="5">
        <f>AVERAGEIF(B2:B60,B5,D2:D60)</f>
        <v>3.7333333333333329</v>
      </c>
      <c r="U5" s="5">
        <f ca="1">AVERAGEIF(B2:B60,B5,E2:E20)</f>
        <v>11.966666666666667</v>
      </c>
      <c r="V5" s="5">
        <f>AVERAGEIF(B2:B60,B5,F2:F60)</f>
        <v>15.700000000000001</v>
      </c>
    </row>
    <row r="6" spans="1:22">
      <c r="A6" s="12" t="s">
        <v>22</v>
      </c>
      <c r="B6" s="13" t="s">
        <v>27</v>
      </c>
      <c r="C6" s="5">
        <v>5</v>
      </c>
      <c r="D6" s="14">
        <f>C6/H6</f>
        <v>2.5</v>
      </c>
      <c r="E6" s="14">
        <f>I6/H6</f>
        <v>9</v>
      </c>
      <c r="F6" s="14">
        <f t="shared" si="0"/>
        <v>11.5</v>
      </c>
      <c r="G6" s="5">
        <v>4</v>
      </c>
      <c r="H6" s="5">
        <v>2</v>
      </c>
      <c r="I6" s="5">
        <v>18</v>
      </c>
      <c r="J6" s="5">
        <f>C6+I6</f>
        <v>23</v>
      </c>
      <c r="K6" s="5">
        <f t="shared" si="1"/>
        <v>9</v>
      </c>
      <c r="L6" s="5">
        <f t="shared" si="2"/>
        <v>11.5</v>
      </c>
      <c r="M6" s="5">
        <f>COUNTIF(B2:B60,"Chase Lanckriet")</f>
        <v>6</v>
      </c>
      <c r="N6" s="5">
        <f>SUMIF(B2:B60,B6,C2:C60)</f>
        <v>83</v>
      </c>
      <c r="O6" s="5">
        <f t="shared" si="3"/>
        <v>13.833333333333334</v>
      </c>
      <c r="P6" s="5">
        <f>SUMIF(B2:B60, B6, I2:I60)</f>
        <v>231</v>
      </c>
      <c r="Q6" s="5">
        <f t="shared" si="4"/>
        <v>38.5</v>
      </c>
      <c r="R6" s="5">
        <f t="shared" si="6"/>
        <v>314</v>
      </c>
      <c r="S6" s="5">
        <f t="shared" si="5"/>
        <v>52.333333333333336</v>
      </c>
      <c r="T6" s="5">
        <f>AVERAGEIF(B2:B60,B6,D2:D60)</f>
        <v>3.0333333333333332</v>
      </c>
      <c r="U6" s="5">
        <f ca="1">AVERAGEIF(B2:B60,B6,E2:E20)</f>
        <v>9.8944444444444439</v>
      </c>
      <c r="V6" s="5">
        <f>AVERAGEIF(B2:B60,B6,F2:F60)</f>
        <v>12.927777777777777</v>
      </c>
    </row>
    <row r="7" spans="1:22">
      <c r="A7" s="12" t="s">
        <v>22</v>
      </c>
      <c r="B7" s="13" t="s">
        <v>28</v>
      </c>
      <c r="C7" s="5">
        <v>4</v>
      </c>
      <c r="D7" s="14">
        <f>C7/H7</f>
        <v>4</v>
      </c>
      <c r="E7" s="14">
        <f>I7/H7</f>
        <v>9</v>
      </c>
      <c r="F7" s="14">
        <f t="shared" si="0"/>
        <v>13</v>
      </c>
      <c r="G7" s="5">
        <v>2</v>
      </c>
      <c r="H7" s="5">
        <v>1</v>
      </c>
      <c r="I7" s="5">
        <v>9</v>
      </c>
      <c r="J7" s="5">
        <f>C7+I7</f>
        <v>13</v>
      </c>
      <c r="K7" s="5">
        <f t="shared" si="1"/>
        <v>9</v>
      </c>
      <c r="L7" s="5">
        <f t="shared" si="2"/>
        <v>13</v>
      </c>
      <c r="M7" s="5">
        <f>COUNTIF(B2:B60,"Jalen Bethany")</f>
        <v>7</v>
      </c>
      <c r="N7" s="5">
        <f ca="1">SUMIF(B2:B60,B7,C6:C60)</f>
        <v>65</v>
      </c>
      <c r="O7" s="5">
        <f t="shared" ca="1" si="3"/>
        <v>9.2857142857142865</v>
      </c>
      <c r="P7" s="5">
        <f>SUMIF(B2:B60, B7, I2:I60)</f>
        <v>145</v>
      </c>
      <c r="Q7" s="5">
        <f t="shared" si="4"/>
        <v>20.714285714285715</v>
      </c>
      <c r="R7" s="5">
        <f t="shared" ca="1" si="6"/>
        <v>210</v>
      </c>
      <c r="S7" s="5">
        <f t="shared" ca="1" si="5"/>
        <v>30</v>
      </c>
      <c r="T7" s="5">
        <f>AVERAGEIF(B2:B60,B7,D2:D60)</f>
        <v>2.0476190476190479</v>
      </c>
      <c r="U7" s="5">
        <f ca="1">AVERAGEIF(B2:B60,B7,E2:E20)</f>
        <v>9.9285714285714288</v>
      </c>
      <c r="V7" s="5">
        <f>AVERAGEIF(B2:B60,B7,F2:F60)</f>
        <v>11.976190476190478</v>
      </c>
    </row>
    <row r="8" spans="1:22">
      <c r="A8" s="12" t="s">
        <v>22</v>
      </c>
      <c r="B8" s="13" t="s">
        <v>29</v>
      </c>
      <c r="C8" s="5">
        <v>13</v>
      </c>
      <c r="D8" s="14">
        <f>C8/H8</f>
        <v>13</v>
      </c>
      <c r="E8" s="14">
        <f>I8/H8</f>
        <v>8</v>
      </c>
      <c r="F8" s="14">
        <f t="shared" si="0"/>
        <v>21</v>
      </c>
      <c r="G8" s="5">
        <v>2</v>
      </c>
      <c r="H8" s="5">
        <v>1</v>
      </c>
      <c r="I8" s="5">
        <v>8</v>
      </c>
      <c r="J8" s="5">
        <f>C8+I8</f>
        <v>21</v>
      </c>
      <c r="K8" s="5">
        <f t="shared" si="1"/>
        <v>8</v>
      </c>
      <c r="L8" s="5">
        <f t="shared" si="2"/>
        <v>21</v>
      </c>
      <c r="M8" s="15">
        <f>COUNTIF(B2:B60,"Andrew Martin")</f>
        <v>6</v>
      </c>
      <c r="N8" s="5">
        <f>SUMIF(B2:B60,B8,C2:C60)</f>
        <v>124</v>
      </c>
      <c r="O8" s="5">
        <f t="shared" si="3"/>
        <v>20.666666666666668</v>
      </c>
      <c r="P8" s="5">
        <f>SUMIF(B2:B60, B8, I2:I60)</f>
        <v>141</v>
      </c>
      <c r="Q8" s="5">
        <f t="shared" si="4"/>
        <v>23.5</v>
      </c>
      <c r="R8" s="5">
        <f t="shared" si="6"/>
        <v>265</v>
      </c>
      <c r="S8" s="5">
        <f t="shared" si="5"/>
        <v>44.166666666666664</v>
      </c>
      <c r="T8" s="5">
        <f>AVERAGEIF(B2:B60,B8,D2:D60)</f>
        <v>8.5916666666666668</v>
      </c>
      <c r="U8" s="5">
        <f ca="1">AVERAGEIF(B2:B60,B8,E2:E20)</f>
        <v>8.75</v>
      </c>
      <c r="V8" s="5">
        <f>AVERAGEIF(B2:B60,B8,F2:F60)</f>
        <v>17.341666666666665</v>
      </c>
    </row>
    <row r="9" spans="1:22">
      <c r="A9" s="12" t="s">
        <v>22</v>
      </c>
      <c r="B9" s="13" t="s">
        <v>30</v>
      </c>
      <c r="C9" s="5">
        <v>0</v>
      </c>
      <c r="D9" s="14">
        <f>C9/H9</f>
        <v>0</v>
      </c>
      <c r="E9" s="14">
        <f>I9/H9</f>
        <v>5</v>
      </c>
      <c r="F9" s="14">
        <f t="shared" si="0"/>
        <v>5</v>
      </c>
      <c r="G9" s="5">
        <v>2</v>
      </c>
      <c r="H9" s="5">
        <v>1</v>
      </c>
      <c r="I9" s="5">
        <v>5</v>
      </c>
      <c r="J9" s="5">
        <f>C9+I9</f>
        <v>5</v>
      </c>
      <c r="K9" s="5">
        <f t="shared" si="1"/>
        <v>5</v>
      </c>
      <c r="L9" s="5">
        <f t="shared" si="2"/>
        <v>5</v>
      </c>
      <c r="M9" s="15">
        <f>COUNTIF(B2:B60,"Dom McManus")</f>
        <v>3</v>
      </c>
      <c r="N9" s="5">
        <f>SUMIF(B2:B60,B9,C2:C60)</f>
        <v>6</v>
      </c>
      <c r="O9" s="5">
        <f t="shared" si="3"/>
        <v>2</v>
      </c>
      <c r="P9" s="5">
        <f>SUMIF(B2:B60, B9, I2:I60)</f>
        <v>20</v>
      </c>
      <c r="Q9" s="5">
        <f t="shared" si="4"/>
        <v>6.666666666666667</v>
      </c>
      <c r="R9" s="5">
        <f t="shared" si="6"/>
        <v>26</v>
      </c>
      <c r="S9" s="5">
        <f t="shared" si="5"/>
        <v>8.6666666666666661</v>
      </c>
      <c r="T9" s="5">
        <f>AVERAGEIF(B2:B60,B9,D2:D60)</f>
        <v>2</v>
      </c>
      <c r="U9" s="5">
        <f ca="1">AVERAGEIF(B2:B60,B9,E2:E20)</f>
        <v>6.666666666666667</v>
      </c>
      <c r="V9" s="5">
        <f>AVERAGEIF(B2:B60,B9,F2:F60)</f>
        <v>8.6666666666666661</v>
      </c>
    </row>
    <row r="10" spans="1:22">
      <c r="A10" s="12" t="s">
        <v>22</v>
      </c>
      <c r="B10" s="13" t="s">
        <v>31</v>
      </c>
      <c r="C10" s="5">
        <v>0</v>
      </c>
      <c r="D10" s="14">
        <f>C10/H10</f>
        <v>0</v>
      </c>
      <c r="E10" s="14">
        <f>I10/H10</f>
        <v>4</v>
      </c>
      <c r="F10" s="14">
        <f t="shared" si="0"/>
        <v>4</v>
      </c>
      <c r="G10" s="5">
        <v>1</v>
      </c>
      <c r="H10" s="5">
        <v>1</v>
      </c>
      <c r="I10" s="5">
        <v>4</v>
      </c>
      <c r="J10" s="5">
        <f>C10+I10</f>
        <v>4</v>
      </c>
      <c r="K10" s="5">
        <f t="shared" si="1"/>
        <v>4</v>
      </c>
      <c r="L10" s="5">
        <f t="shared" si="2"/>
        <v>4</v>
      </c>
      <c r="M10" s="15">
        <f>COUNTIF(B2:B60,"Tyus Hanson")</f>
        <v>1</v>
      </c>
      <c r="N10" s="5">
        <f>SUMIF(B2:B60,B10,C2:C60)</f>
        <v>0</v>
      </c>
      <c r="O10" s="5">
        <f t="shared" si="3"/>
        <v>0</v>
      </c>
      <c r="P10" s="5">
        <f>SUMIF(B2:B60, B10, I2:I60)</f>
        <v>4</v>
      </c>
      <c r="Q10" s="5">
        <f t="shared" si="4"/>
        <v>4</v>
      </c>
      <c r="R10" s="5">
        <f t="shared" si="6"/>
        <v>4</v>
      </c>
      <c r="S10" s="5">
        <f t="shared" si="5"/>
        <v>4</v>
      </c>
      <c r="T10" s="5">
        <f>AVERAGEIF(B2:B60,B10,D2:D60)</f>
        <v>0</v>
      </c>
      <c r="U10" s="5">
        <f ca="1">AVERAGEIF(B2:B60,B10,E2:E20)</f>
        <v>4</v>
      </c>
      <c r="V10" s="5">
        <f>AVERAGEIF(B2:B60,B10,F2:F60)</f>
        <v>4</v>
      </c>
    </row>
    <row r="11" spans="1:22">
      <c r="A11" s="12" t="s">
        <v>32</v>
      </c>
      <c r="B11" s="13" t="s">
        <v>24</v>
      </c>
      <c r="C11" s="5">
        <v>5</v>
      </c>
      <c r="D11" s="14">
        <f>C11/H11</f>
        <v>0.83333333333333337</v>
      </c>
      <c r="E11" s="14">
        <f>I11/H11</f>
        <v>7.666666666666667</v>
      </c>
      <c r="F11" s="14">
        <f t="shared" si="0"/>
        <v>8.5</v>
      </c>
      <c r="G11" s="5">
        <v>9</v>
      </c>
      <c r="H11" s="5">
        <v>6</v>
      </c>
      <c r="I11" s="5">
        <v>46</v>
      </c>
      <c r="J11" s="5">
        <f>C11+I11</f>
        <v>51</v>
      </c>
      <c r="K11" s="5">
        <f t="shared" si="1"/>
        <v>7.666666666666667</v>
      </c>
      <c r="L11" s="5">
        <f t="shared" si="2"/>
        <v>8.5</v>
      </c>
      <c r="M11" s="15">
        <f>COUNTIF(B2:B60,"Kobe Smith")</f>
        <v>7</v>
      </c>
      <c r="N11" s="5">
        <f>SUMIF(B2:B60,B11,C2:C60)</f>
        <v>239</v>
      </c>
      <c r="O11" s="5">
        <f t="shared" si="3"/>
        <v>34.142857142857146</v>
      </c>
      <c r="P11" s="5">
        <f>SUMIF(B2:B60, B11, I2:I60)</f>
        <v>521</v>
      </c>
      <c r="Q11" s="5">
        <f t="shared" si="4"/>
        <v>74.428571428571431</v>
      </c>
      <c r="R11" s="5">
        <f t="shared" si="6"/>
        <v>760</v>
      </c>
      <c r="S11" s="5">
        <f t="shared" si="5"/>
        <v>108.57142857142857</v>
      </c>
      <c r="T11" s="5">
        <f>AVERAGEIF(B2:B60,B11,D2:D60)</f>
        <v>6.9095238095238107</v>
      </c>
      <c r="U11" s="5">
        <f ca="1">AVERAGEIF(B2:B60,B11,E2:E20)</f>
        <v>15.11904761904762</v>
      </c>
      <c r="V11" s="5">
        <f>AVERAGEIF(B2:B60,B11,F2:F60)</f>
        <v>22.028571428571432</v>
      </c>
    </row>
    <row r="12" spans="1:22">
      <c r="A12" s="12" t="s">
        <v>32</v>
      </c>
      <c r="B12" s="13" t="s">
        <v>27</v>
      </c>
      <c r="C12" s="5">
        <v>11</v>
      </c>
      <c r="D12" s="14">
        <f>C12/H12</f>
        <v>2.2000000000000002</v>
      </c>
      <c r="E12" s="14">
        <f>I12/H12</f>
        <v>10.199999999999999</v>
      </c>
      <c r="F12" s="14">
        <f t="shared" si="0"/>
        <v>12.4</v>
      </c>
      <c r="G12" s="5">
        <v>7</v>
      </c>
      <c r="H12" s="5">
        <v>5</v>
      </c>
      <c r="I12" s="5">
        <v>51</v>
      </c>
      <c r="J12" s="5">
        <f>C12+I12</f>
        <v>62</v>
      </c>
      <c r="K12" s="5">
        <f t="shared" si="1"/>
        <v>10.199999999999999</v>
      </c>
      <c r="L12" s="5">
        <f t="shared" si="2"/>
        <v>12.4</v>
      </c>
      <c r="M12" s="5">
        <f>COUNTIF(B2:B60,"Chase Lanckriet")</f>
        <v>6</v>
      </c>
      <c r="N12" s="5">
        <f>SUMIF(B2:B60,B12,C2:C60)</f>
        <v>83</v>
      </c>
      <c r="O12" s="5">
        <f t="shared" si="3"/>
        <v>13.833333333333334</v>
      </c>
      <c r="P12" s="5">
        <f>SUMIF(B2:B60, B12, I2:I60)</f>
        <v>231</v>
      </c>
      <c r="Q12" s="5">
        <f t="shared" si="4"/>
        <v>38.5</v>
      </c>
      <c r="R12" s="5">
        <f t="shared" si="6"/>
        <v>314</v>
      </c>
      <c r="S12" s="5">
        <f t="shared" si="5"/>
        <v>52.333333333333336</v>
      </c>
      <c r="T12" s="5">
        <f>AVERAGEIF(B2:B60,B12,D2:D60)</f>
        <v>3.0333333333333332</v>
      </c>
      <c r="U12" s="5">
        <f ca="1">AVERAGEIF(B2:B60,B12,E2:E20)</f>
        <v>9.8944444444444439</v>
      </c>
      <c r="V12" s="5">
        <f>AVERAGEIF(B2:B60,B12,F2:F60)</f>
        <v>12.927777777777777</v>
      </c>
    </row>
    <row r="13" spans="1:22">
      <c r="A13" s="12" t="s">
        <v>32</v>
      </c>
      <c r="B13" s="13" t="s">
        <v>26</v>
      </c>
      <c r="C13" s="5">
        <v>22</v>
      </c>
      <c r="D13" s="14">
        <f>C13/H13</f>
        <v>4.4000000000000004</v>
      </c>
      <c r="E13" s="14">
        <f>I13/H13</f>
        <v>8.8000000000000007</v>
      </c>
      <c r="F13" s="14">
        <f t="shared" si="0"/>
        <v>13.2</v>
      </c>
      <c r="G13" s="5">
        <v>6</v>
      </c>
      <c r="H13" s="5">
        <v>5</v>
      </c>
      <c r="I13" s="5">
        <v>44</v>
      </c>
      <c r="J13" s="5">
        <f>C13+I13</f>
        <v>66</v>
      </c>
      <c r="K13" s="5">
        <f t="shared" si="1"/>
        <v>8.8000000000000007</v>
      </c>
      <c r="L13" s="5">
        <f t="shared" si="2"/>
        <v>13.2</v>
      </c>
      <c r="M13" s="5">
        <f>COUNTIF(B2:B60,"Spencer Redd")</f>
        <v>6</v>
      </c>
      <c r="N13" s="5">
        <f>SUMIF(B2:B60,B13,C2:C60)</f>
        <v>45</v>
      </c>
      <c r="O13" s="5">
        <f t="shared" si="3"/>
        <v>7.5</v>
      </c>
      <c r="P13" s="5">
        <f>SUMIF(B2:B60, B13, I2:I60)</f>
        <v>121</v>
      </c>
      <c r="Q13" s="5">
        <f t="shared" si="4"/>
        <v>20.166666666666668</v>
      </c>
      <c r="R13" s="5">
        <f t="shared" si="6"/>
        <v>166</v>
      </c>
      <c r="S13" s="5">
        <f t="shared" si="5"/>
        <v>27.666666666666668</v>
      </c>
      <c r="T13" s="5">
        <f>AVERAGEIF(B2:B60,B13,D2:D60)</f>
        <v>3.7333333333333329</v>
      </c>
      <c r="U13" s="5">
        <f ca="1">AVERAGEIF(B2:B60,B13,E2:E20)</f>
        <v>11.966666666666667</v>
      </c>
      <c r="V13" s="5">
        <f>AVERAGEIF(B2:B60,B13,F2:F60)</f>
        <v>15.700000000000001</v>
      </c>
    </row>
    <row r="14" spans="1:22">
      <c r="A14" s="12" t="s">
        <v>32</v>
      </c>
      <c r="B14" s="13" t="s">
        <v>23</v>
      </c>
      <c r="C14" s="5">
        <v>1</v>
      </c>
      <c r="D14" s="14">
        <f>C14/H14</f>
        <v>0.33333333333333331</v>
      </c>
      <c r="E14" s="14">
        <f>I14/H14</f>
        <v>11</v>
      </c>
      <c r="F14" s="14">
        <f t="shared" si="0"/>
        <v>11.333333333333334</v>
      </c>
      <c r="G14" s="5">
        <v>6</v>
      </c>
      <c r="H14" s="5">
        <v>3</v>
      </c>
      <c r="I14" s="5">
        <v>33</v>
      </c>
      <c r="J14" s="5">
        <f>C14+I14</f>
        <v>34</v>
      </c>
      <c r="K14" s="5">
        <f t="shared" si="1"/>
        <v>11</v>
      </c>
      <c r="L14" s="5">
        <f t="shared" si="2"/>
        <v>11.333333333333334</v>
      </c>
      <c r="M14" s="5">
        <f>COUNTIF(B2:B60,"Payton Rose")</f>
        <v>7</v>
      </c>
      <c r="N14" s="5">
        <f>SUMIF(B2:B60,B14,C2:C60)</f>
        <v>110</v>
      </c>
      <c r="O14" s="5">
        <f t="shared" si="3"/>
        <v>15.714285714285714</v>
      </c>
      <c r="P14" s="5">
        <f>SUMIF(B2:B60, B14, I2:I60)</f>
        <v>825</v>
      </c>
      <c r="Q14" s="5">
        <f t="shared" si="4"/>
        <v>117.85714285714286</v>
      </c>
      <c r="R14" s="5">
        <f t="shared" si="6"/>
        <v>935</v>
      </c>
      <c r="S14" s="5">
        <f t="shared" si="5"/>
        <v>133.57142857142858</v>
      </c>
      <c r="T14" s="5">
        <f>AVERAGEIF(B2:B60,B14,D2:D60)</f>
        <v>2.9843537414965984</v>
      </c>
      <c r="U14" s="5">
        <f ca="1">AVERAGEIF(B2:B60,B14,E2:E20)</f>
        <v>20.114739229024941</v>
      </c>
      <c r="V14" s="5">
        <f>AVERAGEIF(B2:B60,B14,F2:F60)</f>
        <v>23.099092970521543</v>
      </c>
    </row>
    <row r="15" spans="1:22">
      <c r="A15" s="12" t="s">
        <v>32</v>
      </c>
      <c r="B15" s="13" t="s">
        <v>28</v>
      </c>
      <c r="C15" s="5">
        <v>0</v>
      </c>
      <c r="D15" s="14">
        <f>C15/H15</f>
        <v>0</v>
      </c>
      <c r="E15" s="14">
        <f>I15/H15</f>
        <v>5</v>
      </c>
      <c r="F15" s="14">
        <f t="shared" si="0"/>
        <v>5</v>
      </c>
      <c r="G15" s="5">
        <v>1</v>
      </c>
      <c r="H15" s="5">
        <v>1</v>
      </c>
      <c r="I15" s="5">
        <v>5</v>
      </c>
      <c r="J15" s="5">
        <f>C15+I15</f>
        <v>5</v>
      </c>
      <c r="K15" s="5">
        <f t="shared" si="1"/>
        <v>5</v>
      </c>
      <c r="L15" s="5">
        <f t="shared" si="2"/>
        <v>5</v>
      </c>
      <c r="M15" s="5">
        <f>COUNTIF(B2:B60,"Jalen Bethany")</f>
        <v>7</v>
      </c>
      <c r="N15" s="5">
        <f>SUMIF(B2:B60,B15,C2:C60)</f>
        <v>29</v>
      </c>
      <c r="O15" s="5">
        <f t="shared" si="3"/>
        <v>4.1428571428571432</v>
      </c>
      <c r="P15" s="5">
        <f>SUMIF(B2:B60, B15, I2:I60)</f>
        <v>145</v>
      </c>
      <c r="Q15" s="5">
        <f t="shared" si="4"/>
        <v>20.714285714285715</v>
      </c>
      <c r="R15" s="5">
        <f t="shared" si="6"/>
        <v>174</v>
      </c>
      <c r="S15" s="5">
        <f t="shared" si="5"/>
        <v>24.857142857142858</v>
      </c>
      <c r="T15" s="5">
        <f>AVERAGEIF(B2:B60,B15,D2:D60)</f>
        <v>2.0476190476190479</v>
      </c>
      <c r="U15" s="5">
        <f ca="1">AVERAGEIF(B2:B60,B15,E2:E20)</f>
        <v>9.9285714285714288</v>
      </c>
      <c r="V15" s="5">
        <f>AVERAGEIF(B2:B60,B15,F2:F60)</f>
        <v>11.976190476190478</v>
      </c>
    </row>
    <row r="16" spans="1:22">
      <c r="A16" s="12" t="s">
        <v>32</v>
      </c>
      <c r="B16" s="13" t="s">
        <v>33</v>
      </c>
      <c r="C16" s="5">
        <v>0</v>
      </c>
      <c r="D16" s="14">
        <f>C16/H16</f>
        <v>0</v>
      </c>
      <c r="E16" s="14">
        <f>I16/H16</f>
        <v>2</v>
      </c>
      <c r="F16" s="14">
        <f t="shared" si="0"/>
        <v>2</v>
      </c>
      <c r="G16" s="5">
        <v>1</v>
      </c>
      <c r="H16" s="5">
        <v>1</v>
      </c>
      <c r="I16" s="5">
        <v>2</v>
      </c>
      <c r="J16" s="5">
        <f>C16+I16</f>
        <v>2</v>
      </c>
      <c r="K16" s="5">
        <f t="shared" si="1"/>
        <v>2</v>
      </c>
      <c r="L16" s="5">
        <f t="shared" si="2"/>
        <v>2</v>
      </c>
      <c r="M16" s="5">
        <f>COUNTIF(B2:B60,"Robert Giaimo")</f>
        <v>1</v>
      </c>
      <c r="N16" s="5">
        <f>SUMIF(B2:B60,B16,C2:C60)</f>
        <v>0</v>
      </c>
      <c r="O16" s="5">
        <f t="shared" si="3"/>
        <v>0</v>
      </c>
      <c r="P16" s="5">
        <f>SUMIF(B2:B60, B16, I2:I60)</f>
        <v>2</v>
      </c>
      <c r="Q16" s="5">
        <f t="shared" si="4"/>
        <v>2</v>
      </c>
      <c r="R16" s="5">
        <f t="shared" si="6"/>
        <v>2</v>
      </c>
      <c r="S16" s="5">
        <f t="shared" si="5"/>
        <v>2</v>
      </c>
      <c r="T16" s="5">
        <f>AVERAGEIF(B2:B60,B16,D2:D60)</f>
        <v>0</v>
      </c>
      <c r="U16" s="5">
        <f ca="1">AVERAGEIF(B2:B60,B16,E2:E20)</f>
        <v>2</v>
      </c>
      <c r="V16" s="5">
        <f>AVERAGEIF(B2:B60,B16,F2:F60)</f>
        <v>2</v>
      </c>
    </row>
    <row r="17" spans="1:22">
      <c r="A17" s="12" t="s">
        <v>32</v>
      </c>
      <c r="B17" s="13" t="s">
        <v>25</v>
      </c>
      <c r="C17" s="5">
        <v>0</v>
      </c>
      <c r="D17" s="14">
        <f>C17/H17</f>
        <v>0</v>
      </c>
      <c r="E17" s="14">
        <f>I17/H17</f>
        <v>0</v>
      </c>
      <c r="F17" s="14">
        <f t="shared" si="0"/>
        <v>0</v>
      </c>
      <c r="G17" s="5">
        <v>1</v>
      </c>
      <c r="H17" s="5">
        <v>1</v>
      </c>
      <c r="I17" s="5">
        <v>0</v>
      </c>
      <c r="J17" s="5">
        <f>C17+I17</f>
        <v>0</v>
      </c>
      <c r="K17" s="5">
        <f t="shared" si="1"/>
        <v>0</v>
      </c>
      <c r="L17" s="5">
        <f t="shared" si="2"/>
        <v>0</v>
      </c>
      <c r="M17" s="5">
        <f>COUNTIF(B2:B60,"Jeff Caldwell")</f>
        <v>4</v>
      </c>
      <c r="N17" s="5">
        <f>SUMIF(B2:B60,B17,C2:C60)</f>
        <v>3</v>
      </c>
      <c r="O17" s="5">
        <f t="shared" si="3"/>
        <v>0.75</v>
      </c>
      <c r="P17" s="5">
        <f>SUMIF(B2:B60, B17, I2:I60)</f>
        <v>135</v>
      </c>
      <c r="Q17" s="5">
        <f t="shared" si="4"/>
        <v>33.75</v>
      </c>
      <c r="R17" s="5">
        <f t="shared" si="6"/>
        <v>138</v>
      </c>
      <c r="S17" s="5">
        <f t="shared" si="5"/>
        <v>34.5</v>
      </c>
      <c r="T17" s="5">
        <f>AVERAGEIF(B2:B60,B17,D2:D60)</f>
        <v>0.25</v>
      </c>
      <c r="U17" s="5">
        <f ca="1">AVERAGEIF(B2:B60,B17,E2:E20)</f>
        <v>13.791666666666668</v>
      </c>
      <c r="V17" s="5">
        <f>AVERAGEIF(B2:B60,B17,F2:F60)</f>
        <v>14.041666666666668</v>
      </c>
    </row>
    <row r="18" spans="1:22">
      <c r="A18" s="12" t="s">
        <v>32</v>
      </c>
      <c r="B18" s="13" t="s">
        <v>34</v>
      </c>
      <c r="C18" s="5">
        <v>0</v>
      </c>
      <c r="D18" s="14">
        <f>C18/H18</f>
        <v>0</v>
      </c>
      <c r="E18" s="14">
        <f>I18/H18</f>
        <v>0</v>
      </c>
      <c r="F18" s="14">
        <f t="shared" si="0"/>
        <v>0</v>
      </c>
      <c r="G18" s="5">
        <v>1</v>
      </c>
      <c r="H18" s="5">
        <v>1</v>
      </c>
      <c r="I18" s="5">
        <v>0</v>
      </c>
      <c r="J18" s="5">
        <f>C18+I18</f>
        <v>0</v>
      </c>
      <c r="K18" s="5">
        <f t="shared" si="1"/>
        <v>0</v>
      </c>
      <c r="L18" s="5">
        <f t="shared" si="2"/>
        <v>0</v>
      </c>
      <c r="M18" s="5">
        <f>COUNTIF(B2:B60,"Darrin Fugitt")</f>
        <v>1</v>
      </c>
      <c r="N18" s="5">
        <f>SUMIF(B2:B60,B18,C2:C60)</f>
        <v>0</v>
      </c>
      <c r="O18" s="5">
        <f t="shared" si="3"/>
        <v>0</v>
      </c>
      <c r="P18" s="5">
        <f>SUMIF(B2:B60, B18, I2:I60)</f>
        <v>0</v>
      </c>
      <c r="Q18" s="5">
        <f t="shared" si="4"/>
        <v>0</v>
      </c>
      <c r="R18" s="5">
        <f t="shared" si="6"/>
        <v>0</v>
      </c>
      <c r="S18" s="5">
        <f t="shared" si="5"/>
        <v>0</v>
      </c>
      <c r="T18" s="5">
        <f>AVERAGEIF(B2:B60,B18,D2:D60)</f>
        <v>0</v>
      </c>
      <c r="U18" s="5">
        <f ca="1">AVERAGEIF(B2:B60,B18,E2:E20)</f>
        <v>0</v>
      </c>
      <c r="V18" s="5">
        <f>AVERAGEIF(B2:B60,B18,F2:F60)</f>
        <v>0</v>
      </c>
    </row>
    <row r="19" spans="1:22">
      <c r="A19" s="12" t="s">
        <v>35</v>
      </c>
      <c r="B19" s="13" t="s">
        <v>23</v>
      </c>
      <c r="C19" s="5">
        <v>6</v>
      </c>
      <c r="D19" s="14">
        <f>C19/H19</f>
        <v>1</v>
      </c>
      <c r="E19" s="14">
        <f>I19/H19</f>
        <v>11.166666666666666</v>
      </c>
      <c r="F19" s="14">
        <f t="shared" si="0"/>
        <v>12.166666666666666</v>
      </c>
      <c r="G19" s="5">
        <v>12</v>
      </c>
      <c r="H19" s="5">
        <v>6</v>
      </c>
      <c r="I19" s="5">
        <v>67</v>
      </c>
      <c r="J19" s="5">
        <f>C19+I19</f>
        <v>73</v>
      </c>
      <c r="K19" s="5">
        <f t="shared" si="1"/>
        <v>11.166666666666666</v>
      </c>
      <c r="L19" s="5">
        <f t="shared" si="2"/>
        <v>12.166666666666666</v>
      </c>
      <c r="M19" s="5">
        <f>COUNTIF(B2:B60,"Payton Rose")</f>
        <v>7</v>
      </c>
      <c r="N19" s="5">
        <f>SUMIF(B2:B60,B19,C2:C60)</f>
        <v>110</v>
      </c>
      <c r="O19" s="5">
        <f t="shared" si="3"/>
        <v>15.714285714285714</v>
      </c>
      <c r="P19" s="5">
        <f>SUMIF(B2:B60, B19, I2:I60)</f>
        <v>825</v>
      </c>
      <c r="Q19" s="5">
        <f t="shared" si="4"/>
        <v>117.85714285714286</v>
      </c>
      <c r="R19" s="5">
        <f t="shared" si="6"/>
        <v>935</v>
      </c>
      <c r="S19" s="5">
        <f t="shared" si="5"/>
        <v>133.57142857142858</v>
      </c>
      <c r="T19" s="5">
        <f>AVERAGEIF(B2:B60,B19,D2:D60)</f>
        <v>2.9843537414965984</v>
      </c>
      <c r="U19" s="5">
        <f ca="1">AVERAGEIF(B2:B60,B19,E2:E20)</f>
        <v>20.114739229024941</v>
      </c>
      <c r="V19" s="5">
        <f>AVERAGEIF(B2:B60,B19,F2:F60)</f>
        <v>23.099092970521543</v>
      </c>
    </row>
    <row r="20" spans="1:22">
      <c r="A20" s="12" t="s">
        <v>35</v>
      </c>
      <c r="B20" s="13" t="s">
        <v>24</v>
      </c>
      <c r="C20" s="5">
        <v>11</v>
      </c>
      <c r="D20" s="14">
        <f>C20/H20</f>
        <v>2.2000000000000002</v>
      </c>
      <c r="E20" s="14">
        <f>I20/H20</f>
        <v>15.8</v>
      </c>
      <c r="F20" s="14">
        <f t="shared" si="0"/>
        <v>18</v>
      </c>
      <c r="G20" s="5">
        <v>6</v>
      </c>
      <c r="H20" s="5">
        <v>5</v>
      </c>
      <c r="I20" s="5">
        <v>79</v>
      </c>
      <c r="J20" s="5">
        <f>C20+I20</f>
        <v>90</v>
      </c>
      <c r="K20" s="5">
        <f t="shared" si="1"/>
        <v>15.8</v>
      </c>
      <c r="L20" s="5">
        <f t="shared" si="2"/>
        <v>18</v>
      </c>
      <c r="M20" s="5">
        <f>COUNTIF(B2:B60,"Kobe Smith")</f>
        <v>7</v>
      </c>
      <c r="N20" s="5">
        <f>SUMIF(B2:B60,B20,C2:C60)</f>
        <v>239</v>
      </c>
      <c r="O20" s="5">
        <f t="shared" si="3"/>
        <v>34.142857142857146</v>
      </c>
      <c r="P20" s="5">
        <f>SUMIF(B2:B60, B20, I2:I60)</f>
        <v>521</v>
      </c>
      <c r="Q20" s="5">
        <f t="shared" si="4"/>
        <v>74.428571428571431</v>
      </c>
      <c r="R20" s="5">
        <f t="shared" si="6"/>
        <v>760</v>
      </c>
      <c r="S20" s="5">
        <f t="shared" si="5"/>
        <v>108.57142857142857</v>
      </c>
      <c r="T20" s="5">
        <f>AVERAGEIF(B2:B60,B20,D2:D60)</f>
        <v>6.9095238095238107</v>
      </c>
      <c r="U20" s="5">
        <f ca="1">AVERAGEIF(B2:B60,B20,E2:E20)</f>
        <v>15.11904761904762</v>
      </c>
      <c r="V20" s="5">
        <f>AVERAGEIF(B2:B60,B20,F2:F60)</f>
        <v>22.028571428571432</v>
      </c>
    </row>
    <row r="21" spans="1:22">
      <c r="A21" s="12" t="s">
        <v>35</v>
      </c>
      <c r="B21" s="13" t="s">
        <v>29</v>
      </c>
      <c r="C21" s="5">
        <v>54</v>
      </c>
      <c r="D21" s="14">
        <f>C21/H21</f>
        <v>10.8</v>
      </c>
      <c r="E21" s="14">
        <f>I21/H21</f>
        <v>12</v>
      </c>
      <c r="F21" s="14">
        <f t="shared" si="0"/>
        <v>22.8</v>
      </c>
      <c r="G21" s="5">
        <v>6</v>
      </c>
      <c r="H21" s="5">
        <v>5</v>
      </c>
      <c r="I21" s="5">
        <v>60</v>
      </c>
      <c r="J21" s="5">
        <f>C21+I21</f>
        <v>114</v>
      </c>
      <c r="K21" s="5">
        <f t="shared" si="1"/>
        <v>12</v>
      </c>
      <c r="L21" s="5">
        <f t="shared" si="2"/>
        <v>22.8</v>
      </c>
      <c r="M21" s="5">
        <f>COUNTIF(B2:B60,"Andrew Martin")</f>
        <v>6</v>
      </c>
      <c r="N21" s="5">
        <f>SUMIF(B2:B60,B21,C2:C60)</f>
        <v>124</v>
      </c>
      <c r="O21" s="5">
        <f t="shared" si="3"/>
        <v>20.666666666666668</v>
      </c>
      <c r="P21" s="5">
        <f>SUMIF(B2:B60, B21, I2:I60)</f>
        <v>141</v>
      </c>
      <c r="Q21" s="5">
        <f t="shared" si="4"/>
        <v>23.5</v>
      </c>
      <c r="R21" s="5">
        <f t="shared" si="6"/>
        <v>265</v>
      </c>
      <c r="S21" s="5">
        <f t="shared" si="5"/>
        <v>44.166666666666664</v>
      </c>
      <c r="T21" s="5">
        <f>AVERAGEIF(B2:B60,B21,D2:D60)</f>
        <v>8.5916666666666668</v>
      </c>
      <c r="U21" s="5">
        <f ca="1">AVERAGEIF(B2:B60,B21,E2:E20)</f>
        <v>8.75</v>
      </c>
      <c r="V21" s="5">
        <f>AVERAGEIF(B2:B60,B21,F2:F60)</f>
        <v>17.341666666666665</v>
      </c>
    </row>
    <row r="22" spans="1:22">
      <c r="A22" s="12" t="s">
        <v>35</v>
      </c>
      <c r="B22" s="13" t="s">
        <v>27</v>
      </c>
      <c r="C22" s="5">
        <v>12</v>
      </c>
      <c r="D22" s="14">
        <f>C22/H22</f>
        <v>4</v>
      </c>
      <c r="E22" s="14">
        <f>I22/H22</f>
        <v>7.333333333333333</v>
      </c>
      <c r="F22" s="14">
        <f t="shared" si="0"/>
        <v>11.333333333333334</v>
      </c>
      <c r="G22" s="5">
        <v>4</v>
      </c>
      <c r="H22" s="5">
        <v>3</v>
      </c>
      <c r="I22" s="5">
        <v>22</v>
      </c>
      <c r="J22" s="5">
        <f>C22+I22</f>
        <v>34</v>
      </c>
      <c r="K22" s="5">
        <f t="shared" si="1"/>
        <v>7.333333333333333</v>
      </c>
      <c r="L22" s="5">
        <f t="shared" si="2"/>
        <v>11.333333333333334</v>
      </c>
      <c r="M22" s="5">
        <f>COUNTIF(B2:B60,"Chase Lanckriet")</f>
        <v>6</v>
      </c>
      <c r="N22" s="5">
        <f>SUMIF(B2:B60,B22,C2:C60)</f>
        <v>83</v>
      </c>
      <c r="O22" s="5">
        <f t="shared" si="3"/>
        <v>13.833333333333334</v>
      </c>
      <c r="P22" s="5">
        <f>SUMIF(B2:B60, B22, I2:I60)</f>
        <v>231</v>
      </c>
      <c r="Q22" s="5">
        <f t="shared" si="4"/>
        <v>38.5</v>
      </c>
      <c r="R22" s="5">
        <f t="shared" si="6"/>
        <v>314</v>
      </c>
      <c r="S22" s="5">
        <f t="shared" si="5"/>
        <v>52.333333333333336</v>
      </c>
      <c r="T22" s="5">
        <f>AVERAGEIF(B2:B60,B22,D2:D60)</f>
        <v>3.0333333333333332</v>
      </c>
      <c r="U22" s="5">
        <f ca="1">AVERAGEIF(B2:B60,B22,E2:E20)</f>
        <v>9.8944444444444439</v>
      </c>
      <c r="V22" s="5">
        <f>AVERAGEIF(B2:B60,B22,F2:F60)</f>
        <v>12.927777777777777</v>
      </c>
    </row>
    <row r="23" spans="1:22">
      <c r="A23" s="12" t="s">
        <v>35</v>
      </c>
      <c r="B23" s="13" t="s">
        <v>36</v>
      </c>
      <c r="C23" s="5">
        <v>6</v>
      </c>
      <c r="D23" s="14">
        <f>C23/H23</f>
        <v>2</v>
      </c>
      <c r="E23" s="14">
        <f>I23/H23</f>
        <v>5.333333333333333</v>
      </c>
      <c r="F23" s="14">
        <f t="shared" si="0"/>
        <v>7.333333333333333</v>
      </c>
      <c r="G23" s="5">
        <v>3</v>
      </c>
      <c r="H23" s="5">
        <v>3</v>
      </c>
      <c r="I23" s="5">
        <v>16</v>
      </c>
      <c r="J23" s="5">
        <f>C23+I23</f>
        <v>22</v>
      </c>
      <c r="K23" s="5">
        <f t="shared" si="1"/>
        <v>5.333333333333333</v>
      </c>
      <c r="L23" s="5">
        <f t="shared" si="2"/>
        <v>7.333333333333333</v>
      </c>
      <c r="M23" s="5">
        <f>COUNTIF(B2:B60,"Abraham Haerr")</f>
        <v>3</v>
      </c>
      <c r="N23" s="5">
        <f>SUMIF(B2:B60,B23,C2:C60)</f>
        <v>6</v>
      </c>
      <c r="O23" s="5">
        <f t="shared" si="3"/>
        <v>2</v>
      </c>
      <c r="P23" s="5">
        <f>SUMIF(B2:B60, B23, I2:I60)</f>
        <v>16</v>
      </c>
      <c r="Q23" s="5">
        <f t="shared" si="4"/>
        <v>5.333333333333333</v>
      </c>
      <c r="R23" s="5">
        <f t="shared" si="6"/>
        <v>22</v>
      </c>
      <c r="S23" s="5">
        <f t="shared" si="5"/>
        <v>7.333333333333333</v>
      </c>
      <c r="T23" s="5">
        <f>AVERAGEIF(B2:B60,B23,D2:D60)</f>
        <v>0.66666666666666663</v>
      </c>
      <c r="U23" s="5">
        <f ca="1">AVERAGEIF(B2:B60,B23,E2:E20)</f>
        <v>1.7777777777777777</v>
      </c>
      <c r="V23" s="5">
        <f>AVERAGEIF(B2:B60,B23,F2:F60)</f>
        <v>2.4444444444444442</v>
      </c>
    </row>
    <row r="24" spans="1:22">
      <c r="A24" s="12" t="s">
        <v>35</v>
      </c>
      <c r="B24" s="13" t="s">
        <v>28</v>
      </c>
      <c r="C24" s="5">
        <v>0</v>
      </c>
      <c r="D24" s="14">
        <f>C24/H24</f>
        <v>0</v>
      </c>
      <c r="E24" s="14">
        <f>I24/H24</f>
        <v>18</v>
      </c>
      <c r="F24" s="14">
        <f t="shared" si="0"/>
        <v>18</v>
      </c>
      <c r="G24" s="5">
        <v>3</v>
      </c>
      <c r="H24" s="5">
        <v>2</v>
      </c>
      <c r="I24" s="5">
        <v>36</v>
      </c>
      <c r="J24" s="5">
        <f>C24+I24</f>
        <v>36</v>
      </c>
      <c r="K24" s="5">
        <f t="shared" si="1"/>
        <v>18</v>
      </c>
      <c r="L24" s="5">
        <f t="shared" si="2"/>
        <v>18</v>
      </c>
      <c r="M24" s="5">
        <f>COUNTIF(B2:B60,"Jalen Bethany")</f>
        <v>7</v>
      </c>
      <c r="N24" s="5">
        <f>SUMIF(B2:B60,B24,C2:C60)</f>
        <v>29</v>
      </c>
      <c r="O24" s="5">
        <f t="shared" si="3"/>
        <v>4.1428571428571432</v>
      </c>
      <c r="P24" s="5">
        <f>SUMIF(B2:B60, B24, I2:I60)</f>
        <v>145</v>
      </c>
      <c r="Q24" s="5">
        <f t="shared" si="4"/>
        <v>20.714285714285715</v>
      </c>
      <c r="R24" s="5">
        <f t="shared" si="6"/>
        <v>174</v>
      </c>
      <c r="S24" s="5">
        <f t="shared" si="5"/>
        <v>24.857142857142858</v>
      </c>
      <c r="T24" s="5">
        <f>AVERAGEIF(B2:B60,B24,D2:D60)</f>
        <v>2.0476190476190479</v>
      </c>
      <c r="U24" s="5">
        <f ca="1">AVERAGEIF(B2:B60,B24,E2:E20)</f>
        <v>9.9285714285714288</v>
      </c>
      <c r="V24" s="5">
        <f>AVERAGEIF(B2:B60,B24,F2:F60)</f>
        <v>11.976190476190478</v>
      </c>
    </row>
    <row r="25" spans="1:22">
      <c r="A25" s="12" t="s">
        <v>35</v>
      </c>
      <c r="B25" s="13" t="s">
        <v>25</v>
      </c>
      <c r="C25" s="5">
        <v>0</v>
      </c>
      <c r="D25" s="14">
        <f>C25/H25</f>
        <v>0</v>
      </c>
      <c r="E25" s="14">
        <f>I25/H25</f>
        <v>14.5</v>
      </c>
      <c r="F25" s="14">
        <f t="shared" si="0"/>
        <v>14.5</v>
      </c>
      <c r="G25" s="5">
        <v>4</v>
      </c>
      <c r="H25" s="5">
        <v>2</v>
      </c>
      <c r="I25" s="5">
        <v>29</v>
      </c>
      <c r="J25" s="5">
        <f>C25+I25</f>
        <v>29</v>
      </c>
      <c r="K25" s="5">
        <f t="shared" si="1"/>
        <v>14.5</v>
      </c>
      <c r="L25" s="5">
        <f t="shared" si="2"/>
        <v>14.5</v>
      </c>
      <c r="M25" s="5">
        <f>COUNTIF(B2:B60,"Jeff Caldwell")</f>
        <v>4</v>
      </c>
      <c r="N25" s="5">
        <f>SUMIF(B2:B60,B25,C2:C60)</f>
        <v>3</v>
      </c>
      <c r="O25" s="5">
        <f t="shared" si="3"/>
        <v>0.75</v>
      </c>
      <c r="P25" s="5">
        <f>SUMIF(B2:B60, B25, I2:I60)</f>
        <v>135</v>
      </c>
      <c r="Q25" s="5">
        <f t="shared" si="4"/>
        <v>33.75</v>
      </c>
      <c r="R25" s="5">
        <f t="shared" si="6"/>
        <v>138</v>
      </c>
      <c r="S25" s="5">
        <f t="shared" si="5"/>
        <v>34.5</v>
      </c>
      <c r="T25" s="5">
        <f>AVERAGEIF(B2:B60,B25,D2:D60)</f>
        <v>0.25</v>
      </c>
      <c r="U25" s="5">
        <f ca="1">AVERAGEIF(B2:B60,B25,E2:E20)</f>
        <v>13.791666666666668</v>
      </c>
      <c r="V25" s="5">
        <f>AVERAGEIF(B2:B60,B25,F2:F60)</f>
        <v>14.041666666666668</v>
      </c>
    </row>
    <row r="26" spans="1:22">
      <c r="A26" s="12" t="s">
        <v>35</v>
      </c>
      <c r="B26" s="13" t="s">
        <v>37</v>
      </c>
      <c r="C26" s="5">
        <v>25</v>
      </c>
      <c r="D26" s="14">
        <f>C26/H26</f>
        <v>25</v>
      </c>
      <c r="E26" s="14">
        <f>I26/H26</f>
        <v>29</v>
      </c>
      <c r="F26" s="14">
        <f t="shared" si="0"/>
        <v>54</v>
      </c>
      <c r="G26" s="5">
        <v>1</v>
      </c>
      <c r="H26" s="5">
        <v>1</v>
      </c>
      <c r="I26" s="5">
        <v>29</v>
      </c>
      <c r="J26" s="5">
        <f>C26+I26</f>
        <v>54</v>
      </c>
      <c r="K26" s="5">
        <f t="shared" si="1"/>
        <v>29</v>
      </c>
      <c r="L26" s="5">
        <f t="shared" si="2"/>
        <v>54</v>
      </c>
      <c r="M26" s="5">
        <f>COUNTIF(B2:B60,"Justin Williams")</f>
        <v>2</v>
      </c>
      <c r="N26" s="5">
        <f>SUMIF(B2:B60,B26,C2:C60)</f>
        <v>33</v>
      </c>
      <c r="O26" s="5">
        <f t="shared" si="3"/>
        <v>16.5</v>
      </c>
      <c r="P26" s="5">
        <f>SUMIF(B2:B60, B26, I2:I60)</f>
        <v>41</v>
      </c>
      <c r="Q26" s="5">
        <f t="shared" si="4"/>
        <v>20.5</v>
      </c>
      <c r="R26" s="5">
        <f t="shared" si="6"/>
        <v>74</v>
      </c>
      <c r="S26" s="5">
        <f t="shared" si="5"/>
        <v>37</v>
      </c>
      <c r="T26" s="5">
        <f>AVERAGEIF(B2:B60,B26,D2:D60)</f>
        <v>16.5</v>
      </c>
      <c r="U26" s="5">
        <f ca="1">AVERAGEIF(B2:B60,B26,E2:E20)</f>
        <v>20.5</v>
      </c>
      <c r="V26" s="5">
        <f>AVERAGEIF(B2:B60,B26,F2:F60)</f>
        <v>37</v>
      </c>
    </row>
    <row r="27" spans="1:22">
      <c r="A27" s="12" t="s">
        <v>35</v>
      </c>
      <c r="B27" s="13" t="s">
        <v>26</v>
      </c>
      <c r="C27" s="5">
        <v>3</v>
      </c>
      <c r="D27" s="14">
        <f>C27/H27</f>
        <v>3</v>
      </c>
      <c r="E27" s="14">
        <f>I27/H27</f>
        <v>8</v>
      </c>
      <c r="F27" s="14">
        <f t="shared" si="0"/>
        <v>11</v>
      </c>
      <c r="G27" s="5">
        <v>3</v>
      </c>
      <c r="H27" s="5">
        <v>1</v>
      </c>
      <c r="I27" s="5">
        <v>8</v>
      </c>
      <c r="J27" s="5">
        <f>C27+I27</f>
        <v>11</v>
      </c>
      <c r="K27" s="5">
        <f t="shared" si="1"/>
        <v>8</v>
      </c>
      <c r="L27" s="5">
        <f t="shared" si="2"/>
        <v>11</v>
      </c>
      <c r="M27" s="5">
        <f>COUNTIF(B2:B60,"Spencer Redd")</f>
        <v>6</v>
      </c>
      <c r="N27" s="5">
        <f>SUMIF(B2:B60,B27,C2:C60)</f>
        <v>45</v>
      </c>
      <c r="O27" s="5">
        <f t="shared" si="3"/>
        <v>7.5</v>
      </c>
      <c r="P27" s="5">
        <f>SUMIF(B2:B60, B27, I2:I60)</f>
        <v>121</v>
      </c>
      <c r="Q27" s="5">
        <f t="shared" si="4"/>
        <v>20.166666666666668</v>
      </c>
      <c r="R27" s="5">
        <f t="shared" si="6"/>
        <v>166</v>
      </c>
      <c r="S27" s="5">
        <f t="shared" si="5"/>
        <v>27.666666666666668</v>
      </c>
      <c r="T27" s="5">
        <f>AVERAGEIF(B2:B60,B27,D2:D60)</f>
        <v>3.7333333333333329</v>
      </c>
      <c r="U27" s="5">
        <f ca="1">AVERAGEIF(B2:B60,B27,E2:E20)</f>
        <v>11.966666666666667</v>
      </c>
      <c r="V27" s="5">
        <f>AVERAGEIF(B2:B60,B27,F2:F60)</f>
        <v>15.700000000000001</v>
      </c>
    </row>
    <row r="28" spans="1:22">
      <c r="A28" s="12" t="s">
        <v>38</v>
      </c>
      <c r="B28" s="13" t="s">
        <v>27</v>
      </c>
      <c r="C28" s="5">
        <v>54</v>
      </c>
      <c r="D28" s="14">
        <f>C28/H28</f>
        <v>9</v>
      </c>
      <c r="E28" s="14">
        <f>I28/H28</f>
        <v>19.833333333333332</v>
      </c>
      <c r="F28" s="14">
        <f t="shared" si="0"/>
        <v>28.833333333333332</v>
      </c>
      <c r="G28" s="5">
        <v>9</v>
      </c>
      <c r="H28" s="5">
        <v>6</v>
      </c>
      <c r="I28" s="5">
        <v>119</v>
      </c>
      <c r="J28" s="5">
        <f>C28+I28</f>
        <v>173</v>
      </c>
      <c r="K28" s="5">
        <f t="shared" si="1"/>
        <v>19.833333333333332</v>
      </c>
      <c r="L28" s="5">
        <f t="shared" si="2"/>
        <v>28.833333333333332</v>
      </c>
      <c r="M28" s="5">
        <f>COUNTIF(B2:B60,"Chase Lanckriet")</f>
        <v>6</v>
      </c>
      <c r="N28" s="5">
        <f>SUMIF(B2:B60,B28,C2:C60)</f>
        <v>83</v>
      </c>
      <c r="O28" s="5">
        <f t="shared" si="3"/>
        <v>13.833333333333334</v>
      </c>
      <c r="P28" s="5">
        <f>SUMIF(B2:B60, B28, I2:I60)</f>
        <v>231</v>
      </c>
      <c r="Q28" s="5">
        <f t="shared" si="4"/>
        <v>38.5</v>
      </c>
      <c r="R28" s="5">
        <f t="shared" si="6"/>
        <v>314</v>
      </c>
      <c r="S28" s="5">
        <f t="shared" si="5"/>
        <v>52.333333333333336</v>
      </c>
      <c r="T28" s="5">
        <f>AVERAGEIF(B2:B60,B28,D2:D60)</f>
        <v>3.0333333333333332</v>
      </c>
      <c r="U28" s="5">
        <f ca="1">AVERAGEIF(B2:B60,B28,E2:E20)</f>
        <v>9.8944444444444439</v>
      </c>
      <c r="V28" s="5">
        <f>AVERAGEIF(B2:B60,B28,F2:F60)</f>
        <v>12.927777777777777</v>
      </c>
    </row>
    <row r="29" spans="1:22">
      <c r="A29" s="12" t="s">
        <v>38</v>
      </c>
      <c r="B29" s="13" t="s">
        <v>24</v>
      </c>
      <c r="C29" s="5">
        <v>65</v>
      </c>
      <c r="D29" s="14">
        <f>C29/H29</f>
        <v>10.833333333333334</v>
      </c>
      <c r="E29" s="14">
        <f>I29/H29</f>
        <v>15.666666666666666</v>
      </c>
      <c r="F29" s="14">
        <f t="shared" si="0"/>
        <v>26.5</v>
      </c>
      <c r="G29" s="5">
        <v>8</v>
      </c>
      <c r="H29" s="5">
        <v>6</v>
      </c>
      <c r="I29" s="5">
        <v>94</v>
      </c>
      <c r="J29" s="5">
        <f>C29+I29</f>
        <v>159</v>
      </c>
      <c r="K29" s="5">
        <f t="shared" si="1"/>
        <v>15.666666666666666</v>
      </c>
      <c r="L29" s="5">
        <f t="shared" si="2"/>
        <v>26.5</v>
      </c>
      <c r="M29" s="5">
        <f>COUNTIF(B2:B60,"Kobe Smith")</f>
        <v>7</v>
      </c>
      <c r="N29" s="5">
        <f>SUMIF(B2:B60,B29,C2:C60)</f>
        <v>239</v>
      </c>
      <c r="O29" s="5">
        <f t="shared" si="3"/>
        <v>34.142857142857146</v>
      </c>
      <c r="P29" s="5">
        <f>SUMIF(B2:B60, B29, I2:I60)</f>
        <v>521</v>
      </c>
      <c r="Q29" s="5">
        <f t="shared" si="4"/>
        <v>74.428571428571431</v>
      </c>
      <c r="R29" s="5">
        <f t="shared" si="6"/>
        <v>760</v>
      </c>
      <c r="S29" s="5">
        <f t="shared" si="5"/>
        <v>108.57142857142857</v>
      </c>
      <c r="T29" s="5">
        <f>AVERAGEIF(B2:B60,B29,D2:D60)</f>
        <v>6.9095238095238107</v>
      </c>
      <c r="U29" s="5">
        <f ca="1">AVERAGEIF(B2:B60,B29,E2:E20)</f>
        <v>15.11904761904762</v>
      </c>
      <c r="V29" s="5">
        <f>AVERAGEIF(B2:B60,B29,F2:F60)</f>
        <v>22.028571428571432</v>
      </c>
    </row>
    <row r="30" spans="1:22">
      <c r="A30" s="12" t="s">
        <v>38</v>
      </c>
      <c r="B30" s="13" t="s">
        <v>23</v>
      </c>
      <c r="C30" s="5">
        <v>24</v>
      </c>
      <c r="D30" s="14">
        <f>C30/H30</f>
        <v>4.8</v>
      </c>
      <c r="E30" s="14">
        <f>I30/H30</f>
        <v>20.6</v>
      </c>
      <c r="F30" s="14">
        <f t="shared" si="0"/>
        <v>25.4</v>
      </c>
      <c r="G30" s="5">
        <v>9</v>
      </c>
      <c r="H30" s="5">
        <v>5</v>
      </c>
      <c r="I30" s="5">
        <v>103</v>
      </c>
      <c r="J30" s="5">
        <f>C30+I30</f>
        <v>127</v>
      </c>
      <c r="K30" s="5">
        <f t="shared" si="1"/>
        <v>20.6</v>
      </c>
      <c r="L30" s="5">
        <f t="shared" si="2"/>
        <v>25.4</v>
      </c>
      <c r="M30" s="5">
        <f>COUNTIF(B2:B60,"Payton Rose")</f>
        <v>7</v>
      </c>
      <c r="N30" s="5">
        <f>SUMIF(B2:B60,B30,C2:C60)</f>
        <v>110</v>
      </c>
      <c r="O30" s="5">
        <f t="shared" si="3"/>
        <v>15.714285714285714</v>
      </c>
      <c r="P30" s="5">
        <f>SUMIF(B2:B60, B30, I2:I60)</f>
        <v>825</v>
      </c>
      <c r="Q30" s="5">
        <f t="shared" si="4"/>
        <v>117.85714285714286</v>
      </c>
      <c r="R30" s="5">
        <f t="shared" si="6"/>
        <v>935</v>
      </c>
      <c r="S30" s="5">
        <f t="shared" si="5"/>
        <v>133.57142857142858</v>
      </c>
      <c r="T30" s="5">
        <f>AVERAGEIF(B2:B60,B30,D2:D60)</f>
        <v>2.9843537414965984</v>
      </c>
      <c r="U30" s="5">
        <f ca="1">AVERAGEIF(B2:B60,B30,E2:E20)</f>
        <v>20.114739229024941</v>
      </c>
      <c r="V30" s="5">
        <f>AVERAGEIF(B2:B60,B30,F2:F60)</f>
        <v>23.099092970521543</v>
      </c>
    </row>
    <row r="31" spans="1:22">
      <c r="A31" s="12" t="s">
        <v>38</v>
      </c>
      <c r="B31" s="13" t="s">
        <v>29</v>
      </c>
      <c r="C31" s="5">
        <v>13</v>
      </c>
      <c r="D31" s="14">
        <f>C31/H31</f>
        <v>3.25</v>
      </c>
      <c r="E31" s="14">
        <f>I31/H31</f>
        <v>6</v>
      </c>
      <c r="F31" s="14">
        <f t="shared" si="0"/>
        <v>9.25</v>
      </c>
      <c r="G31" s="5">
        <v>4</v>
      </c>
      <c r="H31" s="5">
        <v>4</v>
      </c>
      <c r="I31" s="5">
        <v>24</v>
      </c>
      <c r="J31" s="5">
        <f>C31+I31</f>
        <v>37</v>
      </c>
      <c r="K31" s="5">
        <f t="shared" si="1"/>
        <v>6</v>
      </c>
      <c r="L31" s="5">
        <f t="shared" si="2"/>
        <v>9.25</v>
      </c>
      <c r="M31" s="5">
        <f>COUNTIF(B2:B60,"Andrew Martin")</f>
        <v>6</v>
      </c>
      <c r="N31" s="5">
        <f>SUMIF(B2:B60,B31,C2:C60)</f>
        <v>124</v>
      </c>
      <c r="O31" s="5">
        <f t="shared" si="3"/>
        <v>20.666666666666668</v>
      </c>
      <c r="P31" s="5">
        <f>SUMIF(B2:B60, B31, I2:I60)</f>
        <v>141</v>
      </c>
      <c r="Q31" s="5">
        <f t="shared" si="4"/>
        <v>23.5</v>
      </c>
      <c r="R31" s="5">
        <f t="shared" si="6"/>
        <v>265</v>
      </c>
      <c r="S31" s="5">
        <f t="shared" si="5"/>
        <v>44.166666666666664</v>
      </c>
      <c r="T31" s="5">
        <f>AVERAGEIF(B2:B60,B31,D2:D60)</f>
        <v>8.5916666666666668</v>
      </c>
      <c r="U31" s="5">
        <f ca="1">AVERAGEIF(B2:B60,B31,E2:E20)</f>
        <v>8.75</v>
      </c>
      <c r="V31" s="5">
        <f>AVERAGEIF(B2:B60,B31,F2:F60)</f>
        <v>17.341666666666665</v>
      </c>
    </row>
    <row r="32" spans="1:22">
      <c r="A32" s="12" t="s">
        <v>38</v>
      </c>
      <c r="B32" s="13" t="s">
        <v>28</v>
      </c>
      <c r="C32" s="5">
        <v>6</v>
      </c>
      <c r="D32" s="14">
        <f>C32/H32</f>
        <v>3</v>
      </c>
      <c r="E32" s="14">
        <f>I32/H32</f>
        <v>12.5</v>
      </c>
      <c r="F32" s="14">
        <f t="shared" si="0"/>
        <v>15.5</v>
      </c>
      <c r="G32" s="5">
        <v>3</v>
      </c>
      <c r="H32" s="5">
        <v>2</v>
      </c>
      <c r="I32" s="5">
        <v>25</v>
      </c>
      <c r="J32" s="5">
        <f>C32+I32</f>
        <v>31</v>
      </c>
      <c r="K32" s="5">
        <f t="shared" si="1"/>
        <v>12.5</v>
      </c>
      <c r="L32" s="5">
        <f t="shared" si="2"/>
        <v>15.5</v>
      </c>
      <c r="M32" s="5">
        <f>COUNTIF(B2:B60,"Jalen Bethany")</f>
        <v>7</v>
      </c>
      <c r="N32" s="5">
        <f>SUMIF(B2:B60,B32,C2:C60)</f>
        <v>29</v>
      </c>
      <c r="O32" s="5">
        <f t="shared" si="3"/>
        <v>4.1428571428571432</v>
      </c>
      <c r="P32" s="5">
        <f>SUMIF(B2:B60, B32, I2:I60)</f>
        <v>145</v>
      </c>
      <c r="Q32" s="5">
        <f t="shared" si="4"/>
        <v>20.714285714285715</v>
      </c>
      <c r="R32" s="5">
        <f t="shared" si="6"/>
        <v>174</v>
      </c>
      <c r="S32" s="5">
        <f t="shared" si="5"/>
        <v>24.857142857142858</v>
      </c>
      <c r="T32" s="5">
        <f>AVERAGEIF(B2:B60,B32,D2:D60)</f>
        <v>2.0476190476190479</v>
      </c>
      <c r="U32" s="5">
        <f ca="1">AVERAGEIF(B2:B60,B32,E2:E20)</f>
        <v>9.9285714285714288</v>
      </c>
      <c r="V32" s="5">
        <f>AVERAGEIF(B2:B60,B32,F2:F60)</f>
        <v>11.976190476190478</v>
      </c>
    </row>
    <row r="33" spans="1:22">
      <c r="A33" s="12" t="s">
        <v>38</v>
      </c>
      <c r="B33" s="13" t="s">
        <v>26</v>
      </c>
      <c r="C33" s="5">
        <v>5</v>
      </c>
      <c r="D33" s="14">
        <f>C33/H33</f>
        <v>5</v>
      </c>
      <c r="E33" s="14">
        <f>I33/H33</f>
        <v>21</v>
      </c>
      <c r="F33" s="14">
        <f t="shared" si="0"/>
        <v>26</v>
      </c>
      <c r="G33" s="5">
        <v>1</v>
      </c>
      <c r="H33" s="5">
        <v>1</v>
      </c>
      <c r="I33" s="5">
        <v>21</v>
      </c>
      <c r="J33" s="5">
        <f>C33+I33</f>
        <v>26</v>
      </c>
      <c r="K33" s="5">
        <f t="shared" si="1"/>
        <v>21</v>
      </c>
      <c r="L33" s="5">
        <f t="shared" si="2"/>
        <v>26</v>
      </c>
      <c r="M33" s="5">
        <f>COUNTIF(B2:B60,"Spencer Redd")</f>
        <v>6</v>
      </c>
      <c r="N33" s="5">
        <f>SUMIF(B2:B60,B33,C2:C60)</f>
        <v>45</v>
      </c>
      <c r="O33" s="5">
        <f t="shared" si="3"/>
        <v>7.5</v>
      </c>
      <c r="P33" s="5">
        <f>SUMIF(B2:B60, B33, I2:I60)</f>
        <v>121</v>
      </c>
      <c r="Q33" s="5">
        <f t="shared" si="4"/>
        <v>20.166666666666668</v>
      </c>
      <c r="R33" s="5">
        <f t="shared" si="6"/>
        <v>166</v>
      </c>
      <c r="S33" s="5">
        <f t="shared" si="5"/>
        <v>27.666666666666668</v>
      </c>
      <c r="T33" s="5">
        <f>AVERAGEIF(B2:B60,B33,D2:D60)</f>
        <v>3.7333333333333329</v>
      </c>
      <c r="U33" s="5">
        <f ca="1">AVERAGEIF(B2:B60,B33,E2:E20)</f>
        <v>11.966666666666667</v>
      </c>
      <c r="V33" s="5">
        <f>AVERAGEIF(B2:B60,B33,F2:F60)</f>
        <v>15.700000000000001</v>
      </c>
    </row>
    <row r="34" spans="1:22">
      <c r="A34" s="12" t="s">
        <v>38</v>
      </c>
      <c r="B34" s="13" t="s">
        <v>30</v>
      </c>
      <c r="C34" s="5">
        <v>6</v>
      </c>
      <c r="D34" s="14">
        <f>C34/H34</f>
        <v>6</v>
      </c>
      <c r="E34" s="14">
        <f>I34/H34</f>
        <v>15</v>
      </c>
      <c r="F34" s="14">
        <f t="shared" si="0"/>
        <v>21</v>
      </c>
      <c r="G34" s="5">
        <v>1</v>
      </c>
      <c r="H34" s="5">
        <v>1</v>
      </c>
      <c r="I34" s="5">
        <v>15</v>
      </c>
      <c r="J34" s="5">
        <f>C34+I34</f>
        <v>21</v>
      </c>
      <c r="K34" s="5">
        <f t="shared" si="1"/>
        <v>15</v>
      </c>
      <c r="L34" s="5">
        <f t="shared" si="2"/>
        <v>21</v>
      </c>
      <c r="M34" s="5">
        <f>COUNTIF(B2:B60,"Dom McManus")</f>
        <v>3</v>
      </c>
      <c r="N34" s="5">
        <f>SUMIF(B2:B60,B34,C2:C60)</f>
        <v>6</v>
      </c>
      <c r="O34" s="5">
        <f t="shared" si="3"/>
        <v>2</v>
      </c>
      <c r="P34" s="5">
        <f>SUMIF(B2:B60, B34, I2:I60)</f>
        <v>20</v>
      </c>
      <c r="Q34" s="5">
        <f t="shared" si="4"/>
        <v>6.666666666666667</v>
      </c>
      <c r="R34" s="5">
        <f t="shared" si="6"/>
        <v>26</v>
      </c>
      <c r="S34" s="5">
        <f t="shared" si="5"/>
        <v>8.6666666666666661</v>
      </c>
      <c r="T34" s="5">
        <f>AVERAGEIF(B2:B60,B34,D2:D60)</f>
        <v>2</v>
      </c>
      <c r="U34" s="5">
        <f ca="1">AVERAGEIF(B2:B60,B34,E2:E20)</f>
        <v>6.666666666666667</v>
      </c>
      <c r="V34" s="5">
        <f>AVERAGEIF(B2:B60,B34,F2:F60)</f>
        <v>8.6666666666666661</v>
      </c>
    </row>
    <row r="35" spans="1:22">
      <c r="A35" s="12" t="s">
        <v>38</v>
      </c>
      <c r="B35" s="13" t="s">
        <v>37</v>
      </c>
      <c r="C35" s="5">
        <v>8</v>
      </c>
      <c r="D35" s="14">
        <f>C35/H35</f>
        <v>8</v>
      </c>
      <c r="E35" s="14">
        <f>I35/H35</f>
        <v>12</v>
      </c>
      <c r="F35" s="14">
        <f t="shared" si="0"/>
        <v>20</v>
      </c>
      <c r="G35" s="5">
        <v>1</v>
      </c>
      <c r="H35" s="5">
        <v>1</v>
      </c>
      <c r="I35" s="5">
        <v>12</v>
      </c>
      <c r="J35" s="5">
        <f>C35+I35</f>
        <v>20</v>
      </c>
      <c r="K35" s="5">
        <f t="shared" si="1"/>
        <v>12</v>
      </c>
      <c r="L35" s="5">
        <f t="shared" si="2"/>
        <v>20</v>
      </c>
      <c r="M35" s="5">
        <f>COUNTIF(B2:B60,"Justin Williams")</f>
        <v>2</v>
      </c>
      <c r="N35" s="5">
        <f>SUMIF(B2:B60,B35,C2:C60)</f>
        <v>33</v>
      </c>
      <c r="O35" s="5">
        <f t="shared" si="3"/>
        <v>16.5</v>
      </c>
      <c r="P35" s="5">
        <f>SUMIF(B2:B60, B35, I2:I60)</f>
        <v>41</v>
      </c>
      <c r="Q35" s="5">
        <f t="shared" si="4"/>
        <v>20.5</v>
      </c>
      <c r="R35" s="5">
        <f t="shared" si="6"/>
        <v>74</v>
      </c>
      <c r="S35" s="5">
        <f t="shared" si="5"/>
        <v>37</v>
      </c>
      <c r="T35" s="5">
        <f>AVERAGEIF(B2:B60,B35,D2:D60)</f>
        <v>16.5</v>
      </c>
      <c r="U35" s="5">
        <f ca="1">AVERAGEIF(B2:B60,B35,E2:E20)</f>
        <v>20.5</v>
      </c>
      <c r="V35" s="5">
        <f>AVERAGEIF(B2:B60,B35,F2:F60)</f>
        <v>37</v>
      </c>
    </row>
    <row r="36" spans="1:22">
      <c r="A36" s="12" t="s">
        <v>38</v>
      </c>
      <c r="B36" s="13" t="s">
        <v>36</v>
      </c>
      <c r="C36" s="5">
        <v>0</v>
      </c>
      <c r="D36" s="14">
        <v>0</v>
      </c>
      <c r="E36" s="14">
        <v>0</v>
      </c>
      <c r="F36" s="14">
        <v>0</v>
      </c>
      <c r="G36" s="5">
        <v>3</v>
      </c>
      <c r="H36" s="5">
        <v>0</v>
      </c>
      <c r="I36" s="5">
        <v>0</v>
      </c>
      <c r="J36" s="5">
        <f>C36+I36</f>
        <v>0</v>
      </c>
      <c r="K36" s="5">
        <v>0</v>
      </c>
      <c r="L36" s="5">
        <v>0</v>
      </c>
      <c r="M36" s="5">
        <f>COUNTIF(B2:B60,"Abraham Haerr")</f>
        <v>3</v>
      </c>
      <c r="N36" s="5">
        <f>SUMIF(B2:B60,B36,C2:C60)</f>
        <v>6</v>
      </c>
      <c r="O36" s="5">
        <f t="shared" si="3"/>
        <v>2</v>
      </c>
      <c r="P36" s="5">
        <f>SUMIF(B2:B60, B36, I2:I60)</f>
        <v>16</v>
      </c>
      <c r="Q36" s="5">
        <f t="shared" si="4"/>
        <v>5.333333333333333</v>
      </c>
      <c r="R36" s="5">
        <f t="shared" si="6"/>
        <v>22</v>
      </c>
      <c r="S36" s="5">
        <f t="shared" si="5"/>
        <v>7.333333333333333</v>
      </c>
      <c r="T36" s="5">
        <f>AVERAGEIF(B2:B60,B36,D2:D60)</f>
        <v>0.66666666666666663</v>
      </c>
      <c r="U36" s="5">
        <f ca="1">AVERAGEIF(B2:B60,B36,E2:E20)</f>
        <v>1.7777777777777777</v>
      </c>
      <c r="V36" s="5">
        <f>AVERAGEIF(B2:B60,B36,F2:F60)</f>
        <v>2.4444444444444442</v>
      </c>
    </row>
    <row r="37" spans="1:22">
      <c r="A37" s="12" t="s">
        <v>39</v>
      </c>
      <c r="B37" s="13" t="s">
        <v>24</v>
      </c>
      <c r="C37" s="5">
        <v>31</v>
      </c>
      <c r="D37" s="14">
        <f>C37/H37</f>
        <v>6.2</v>
      </c>
      <c r="E37" s="14">
        <f>I37/H37</f>
        <v>13</v>
      </c>
      <c r="F37" s="14">
        <f t="shared" si="0"/>
        <v>19.2</v>
      </c>
      <c r="G37" s="5">
        <v>11</v>
      </c>
      <c r="H37" s="5">
        <v>5</v>
      </c>
      <c r="I37" s="5">
        <v>65</v>
      </c>
      <c r="J37" s="5">
        <f>C37+I37</f>
        <v>96</v>
      </c>
      <c r="K37" s="5">
        <f>I37/H37</f>
        <v>13</v>
      </c>
      <c r="L37" s="5">
        <f t="shared" si="2"/>
        <v>19.2</v>
      </c>
      <c r="M37" s="5">
        <f>COUNTIF(B2:B60,"Kobe Smith")</f>
        <v>7</v>
      </c>
      <c r="N37" s="5">
        <f>SUMIF(B2:B60,B37,C2:C60)</f>
        <v>239</v>
      </c>
      <c r="O37" s="5">
        <f t="shared" si="3"/>
        <v>34.142857142857146</v>
      </c>
      <c r="P37" s="5">
        <f>SUMIF(B2:B60, B37, I2:I60)</f>
        <v>521</v>
      </c>
      <c r="Q37" s="5">
        <f t="shared" si="4"/>
        <v>74.428571428571431</v>
      </c>
      <c r="R37" s="5">
        <f t="shared" si="6"/>
        <v>760</v>
      </c>
      <c r="S37" s="5">
        <f t="shared" si="5"/>
        <v>108.57142857142857</v>
      </c>
      <c r="T37" s="5">
        <f>AVERAGEIF(B2:B60,B37,D2:D60)</f>
        <v>6.9095238095238107</v>
      </c>
      <c r="U37" s="5">
        <f ca="1">AVERAGEIF(B2:B60,B37,E2:E20)</f>
        <v>15.11904761904762</v>
      </c>
      <c r="V37" s="5">
        <f>AVERAGEIF(B2:B60,B37,F2:F60)</f>
        <v>22.028571428571432</v>
      </c>
    </row>
    <row r="38" spans="1:22">
      <c r="A38" s="12" t="s">
        <v>39</v>
      </c>
      <c r="B38" s="13" t="s">
        <v>23</v>
      </c>
      <c r="C38" s="5">
        <v>24</v>
      </c>
      <c r="D38" s="14">
        <f>C38/H38</f>
        <v>8</v>
      </c>
      <c r="E38" s="14">
        <f>I38/H38</f>
        <v>37</v>
      </c>
      <c r="F38" s="14">
        <f t="shared" si="0"/>
        <v>45</v>
      </c>
      <c r="G38" s="5">
        <v>6</v>
      </c>
      <c r="H38" s="5">
        <v>3</v>
      </c>
      <c r="I38" s="5">
        <v>111</v>
      </c>
      <c r="J38" s="5">
        <f>C38+I38</f>
        <v>135</v>
      </c>
      <c r="K38" s="5">
        <f t="shared" ref="K38:K60" si="7">I38/H38</f>
        <v>37</v>
      </c>
      <c r="L38" s="5">
        <f t="shared" si="2"/>
        <v>45</v>
      </c>
      <c r="M38" s="5">
        <f>COUNTIF(B2:B60,"Payton Rose")</f>
        <v>7</v>
      </c>
      <c r="N38" s="5">
        <f>SUMIF(B2:B60,B38,C2:C60)</f>
        <v>110</v>
      </c>
      <c r="O38" s="5">
        <f t="shared" si="3"/>
        <v>15.714285714285714</v>
      </c>
      <c r="P38" s="5">
        <f>SUMIF(B2:B60, B38, I2:I60)</f>
        <v>825</v>
      </c>
      <c r="Q38" s="5">
        <f t="shared" si="4"/>
        <v>117.85714285714286</v>
      </c>
      <c r="R38" s="5">
        <f t="shared" si="6"/>
        <v>935</v>
      </c>
      <c r="S38" s="5">
        <f t="shared" si="5"/>
        <v>133.57142857142858</v>
      </c>
      <c r="T38" s="5">
        <f>AVERAGEIF(B2:B60,B38,D2:D60)</f>
        <v>2.9843537414965984</v>
      </c>
      <c r="U38" s="5">
        <f ca="1">AVERAGEIF(B2:B60,B38,E2:E20)</f>
        <v>20.114739229024941</v>
      </c>
      <c r="V38" s="5">
        <f>AVERAGEIF(B2:B60,B38,F2:F60)</f>
        <v>23.099092970521543</v>
      </c>
    </row>
    <row r="39" spans="1:22">
      <c r="A39" s="12" t="s">
        <v>39</v>
      </c>
      <c r="B39" s="13" t="s">
        <v>28</v>
      </c>
      <c r="C39" s="5">
        <v>7</v>
      </c>
      <c r="D39" s="14">
        <f>C39/H39</f>
        <v>2.3333333333333335</v>
      </c>
      <c r="E39" s="14">
        <f>I39/H39</f>
        <v>10.333333333333334</v>
      </c>
      <c r="F39" s="14">
        <f t="shared" si="0"/>
        <v>12.666666666666666</v>
      </c>
      <c r="G39" s="5">
        <v>3</v>
      </c>
      <c r="H39" s="5">
        <v>3</v>
      </c>
      <c r="I39" s="5">
        <v>31</v>
      </c>
      <c r="J39" s="5">
        <f>C39+I39</f>
        <v>38</v>
      </c>
      <c r="K39" s="5">
        <f t="shared" si="7"/>
        <v>10.333333333333334</v>
      </c>
      <c r="L39" s="5">
        <f t="shared" si="2"/>
        <v>12.666666666666666</v>
      </c>
      <c r="M39" s="5">
        <f>COUNTIF(B2:B60,"Jalen Bethany")</f>
        <v>7</v>
      </c>
      <c r="N39" s="5">
        <f>SUMIF(B2:B60,B39,C2:C60)</f>
        <v>29</v>
      </c>
      <c r="O39" s="5">
        <f t="shared" si="3"/>
        <v>4.1428571428571432</v>
      </c>
      <c r="P39" s="5">
        <f>SUMIF(B2:B60, B39, I2:I60)</f>
        <v>145</v>
      </c>
      <c r="Q39" s="5">
        <f t="shared" si="4"/>
        <v>20.714285714285715</v>
      </c>
      <c r="R39" s="5">
        <f t="shared" si="6"/>
        <v>174</v>
      </c>
      <c r="S39" s="5">
        <f t="shared" si="5"/>
        <v>24.857142857142858</v>
      </c>
      <c r="T39" s="5">
        <f>AVERAGEIF(B2:B60,B39,D2:D60)</f>
        <v>2.0476190476190479</v>
      </c>
      <c r="U39" s="5">
        <f ca="1">AVERAGEIF(B2:B60,B39,E2:E20)</f>
        <v>9.9285714285714288</v>
      </c>
      <c r="V39" s="5">
        <f>AVERAGEIF(B2:B60,B39,F2:F60)</f>
        <v>11.976190476190478</v>
      </c>
    </row>
    <row r="40" spans="1:22">
      <c r="A40" s="12" t="s">
        <v>39</v>
      </c>
      <c r="B40" s="13" t="s">
        <v>27</v>
      </c>
      <c r="C40" s="5">
        <v>1</v>
      </c>
      <c r="D40" s="14">
        <f>C40/H40</f>
        <v>0.5</v>
      </c>
      <c r="E40" s="14">
        <f>I40/H40</f>
        <v>8</v>
      </c>
      <c r="F40" s="14">
        <f t="shared" si="0"/>
        <v>8.5</v>
      </c>
      <c r="G40" s="5">
        <v>2</v>
      </c>
      <c r="H40" s="5">
        <v>2</v>
      </c>
      <c r="I40" s="5">
        <v>16</v>
      </c>
      <c r="J40" s="5">
        <f>C40+I40</f>
        <v>17</v>
      </c>
      <c r="K40" s="5">
        <f t="shared" si="7"/>
        <v>8</v>
      </c>
      <c r="L40" s="5">
        <f t="shared" si="2"/>
        <v>8.5</v>
      </c>
      <c r="M40" s="5">
        <f>COUNTIF(B2:B60,"Chase Lanckriet")</f>
        <v>6</v>
      </c>
      <c r="N40" s="5">
        <f>SUMIF(B2:B60,B40,C2:C60)</f>
        <v>83</v>
      </c>
      <c r="O40" s="5">
        <f t="shared" si="3"/>
        <v>13.833333333333334</v>
      </c>
      <c r="P40" s="5">
        <f>SUMIF(B2:B60, B40, I2:I60)</f>
        <v>231</v>
      </c>
      <c r="Q40" s="5">
        <f t="shared" si="4"/>
        <v>38.5</v>
      </c>
      <c r="R40" s="5">
        <f t="shared" si="6"/>
        <v>314</v>
      </c>
      <c r="S40" s="5">
        <f t="shared" si="5"/>
        <v>52.333333333333336</v>
      </c>
      <c r="T40" s="5">
        <f>AVERAGEIF(B2:B60,B40,D2:D60)</f>
        <v>3.0333333333333332</v>
      </c>
      <c r="U40" s="5">
        <f ca="1">AVERAGEIF(B2:B60,B40,E2:E20)</f>
        <v>9.8944444444444439</v>
      </c>
      <c r="V40" s="5">
        <f>AVERAGEIF(B2:B60,B40,F2:F60)</f>
        <v>12.927777777777777</v>
      </c>
    </row>
    <row r="41" spans="1:22">
      <c r="A41" s="12" t="s">
        <v>39</v>
      </c>
      <c r="B41" s="13" t="s">
        <v>29</v>
      </c>
      <c r="C41" s="5">
        <v>23</v>
      </c>
      <c r="D41" s="14">
        <f>C41/H41</f>
        <v>11.5</v>
      </c>
      <c r="E41" s="14">
        <f>I41/H41</f>
        <v>6.5</v>
      </c>
      <c r="F41" s="14">
        <f t="shared" si="0"/>
        <v>18</v>
      </c>
      <c r="G41" s="5">
        <v>2</v>
      </c>
      <c r="H41" s="5">
        <v>2</v>
      </c>
      <c r="I41" s="5">
        <v>13</v>
      </c>
      <c r="J41" s="5">
        <f>C41+I41</f>
        <v>36</v>
      </c>
      <c r="K41" s="5">
        <f t="shared" si="7"/>
        <v>6.5</v>
      </c>
      <c r="L41" s="5">
        <f t="shared" si="2"/>
        <v>18</v>
      </c>
      <c r="M41" s="5">
        <f>COUNTIF(B2:B60,"Andrew Martin")</f>
        <v>6</v>
      </c>
      <c r="N41" s="5">
        <f>SUMIF(B2:B60,B41,C2:C60)</f>
        <v>124</v>
      </c>
      <c r="O41" s="5">
        <f t="shared" si="3"/>
        <v>20.666666666666668</v>
      </c>
      <c r="P41" s="5">
        <f>SUMIF(B2:B60, B41, I2:I60)</f>
        <v>141</v>
      </c>
      <c r="Q41" s="5">
        <f t="shared" si="4"/>
        <v>23.5</v>
      </c>
      <c r="R41" s="5">
        <f t="shared" si="6"/>
        <v>265</v>
      </c>
      <c r="S41" s="5">
        <f t="shared" si="5"/>
        <v>44.166666666666664</v>
      </c>
      <c r="T41" s="5">
        <f>AVERAGEIF(B2:B60,B41,D2:D60)</f>
        <v>8.5916666666666668</v>
      </c>
      <c r="U41" s="5">
        <f ca="1">AVERAGEIF(B2:B60,B41,E2:E20)</f>
        <v>8.75</v>
      </c>
      <c r="V41" s="5">
        <f>AVERAGEIF(B2:B60,B41,F2:F60)</f>
        <v>17.341666666666665</v>
      </c>
    </row>
    <row r="42" spans="1:22">
      <c r="A42" s="12" t="s">
        <v>39</v>
      </c>
      <c r="B42" s="13" t="s">
        <v>26</v>
      </c>
      <c r="C42" s="5">
        <v>2</v>
      </c>
      <c r="D42" s="14">
        <f>C42/H42</f>
        <v>2</v>
      </c>
      <c r="E42" s="14">
        <f>I42/H42</f>
        <v>6</v>
      </c>
      <c r="F42" s="14">
        <f t="shared" si="0"/>
        <v>8</v>
      </c>
      <c r="G42" s="5">
        <v>2</v>
      </c>
      <c r="H42" s="5">
        <v>1</v>
      </c>
      <c r="I42" s="5">
        <v>6</v>
      </c>
      <c r="J42" s="5">
        <f>C42+I42</f>
        <v>8</v>
      </c>
      <c r="K42" s="5">
        <f t="shared" si="7"/>
        <v>6</v>
      </c>
      <c r="L42" s="5">
        <f t="shared" si="2"/>
        <v>8</v>
      </c>
      <c r="M42" s="5">
        <f>COUNTIF(B2:B60,"Spencer Redd")</f>
        <v>6</v>
      </c>
      <c r="N42" s="5">
        <f>SUMIF(B2:B60,B42,C2:C60)</f>
        <v>45</v>
      </c>
      <c r="O42" s="5">
        <f t="shared" si="3"/>
        <v>7.5</v>
      </c>
      <c r="P42" s="5">
        <f>SUMIF(B2:B60, B42, I2:I60)</f>
        <v>121</v>
      </c>
      <c r="Q42" s="5">
        <f t="shared" si="4"/>
        <v>20.166666666666668</v>
      </c>
      <c r="R42" s="5">
        <f t="shared" si="6"/>
        <v>166</v>
      </c>
      <c r="S42" s="5">
        <f t="shared" si="5"/>
        <v>27.666666666666668</v>
      </c>
      <c r="T42" s="5">
        <f>AVERAGEIF(B2:B60,B42,D2:D60)</f>
        <v>3.7333333333333329</v>
      </c>
      <c r="U42" s="5">
        <f ca="1">AVERAGEIF(B2:B60,B42,E2:E20)</f>
        <v>11.966666666666667</v>
      </c>
      <c r="V42" s="5">
        <f>AVERAGEIF(B2:B60,B42,F2:F60)</f>
        <v>15.700000000000001</v>
      </c>
    </row>
    <row r="43" spans="1:22">
      <c r="A43" s="12" t="s">
        <v>39</v>
      </c>
      <c r="B43" s="13" t="s">
        <v>40</v>
      </c>
      <c r="C43" s="5">
        <v>0</v>
      </c>
      <c r="D43" s="14">
        <v>0</v>
      </c>
      <c r="E43" s="14">
        <v>0</v>
      </c>
      <c r="F43" s="14">
        <v>0</v>
      </c>
      <c r="G43" s="5">
        <v>0</v>
      </c>
      <c r="H43" s="5">
        <v>0</v>
      </c>
      <c r="I43" s="5">
        <v>0</v>
      </c>
      <c r="J43" s="5">
        <f>C43+I43</f>
        <v>0</v>
      </c>
      <c r="K43" s="5">
        <v>0</v>
      </c>
      <c r="L43" s="5">
        <v>0</v>
      </c>
      <c r="M43" s="5">
        <f>COUNTIF(B2:B60,"Connor Mazzotta")</f>
        <v>1</v>
      </c>
      <c r="N43" s="5">
        <f>SUMIF(B2:B60,B43,C2:C60)</f>
        <v>0</v>
      </c>
      <c r="O43" s="5">
        <f t="shared" si="3"/>
        <v>0</v>
      </c>
      <c r="P43" s="5">
        <f>SUMIF(B2:B60, B43, I2:I60)</f>
        <v>0</v>
      </c>
      <c r="Q43" s="5">
        <f t="shared" si="4"/>
        <v>0</v>
      </c>
      <c r="R43" s="5">
        <f t="shared" si="6"/>
        <v>0</v>
      </c>
      <c r="S43" s="5">
        <f t="shared" si="5"/>
        <v>0</v>
      </c>
      <c r="T43" s="5">
        <f>AVERAGEIF(B2:B60,B43,D2:D60)</f>
        <v>0</v>
      </c>
      <c r="U43" s="5">
        <f ca="1">AVERAGEIF(B2:B60,B43,E2:E20)</f>
        <v>0</v>
      </c>
      <c r="V43" s="5">
        <f>AVERAGEIF(B2:B60,B43,F2:F60)</f>
        <v>0</v>
      </c>
    </row>
    <row r="44" spans="1:22">
      <c r="A44" s="12" t="s">
        <v>41</v>
      </c>
      <c r="B44" s="13" t="s">
        <v>23</v>
      </c>
      <c r="C44" s="5">
        <v>9</v>
      </c>
      <c r="D44" s="14">
        <f>C44/H44</f>
        <v>1</v>
      </c>
      <c r="E44" s="14">
        <f>I44/H44</f>
        <v>22.222222222222221</v>
      </c>
      <c r="F44" s="14">
        <f t="shared" si="0"/>
        <v>23.222222222222221</v>
      </c>
      <c r="G44" s="5">
        <v>11</v>
      </c>
      <c r="H44" s="5">
        <v>9</v>
      </c>
      <c r="I44" s="5">
        <v>200</v>
      </c>
      <c r="J44" s="5">
        <f>C44+I44</f>
        <v>209</v>
      </c>
      <c r="K44" s="5">
        <f t="shared" si="7"/>
        <v>22.222222222222221</v>
      </c>
      <c r="L44" s="5">
        <f t="shared" si="2"/>
        <v>23.222222222222221</v>
      </c>
      <c r="M44" s="5">
        <f>COUNTIF(B2:B60,"Payton Rose")</f>
        <v>7</v>
      </c>
      <c r="N44" s="5">
        <f>SUMIF(B2:B60,B44,C2:C60)</f>
        <v>110</v>
      </c>
      <c r="O44" s="5">
        <f t="shared" si="3"/>
        <v>15.714285714285714</v>
      </c>
      <c r="P44" s="5">
        <f>SUMIF(B2:B60, B44, I2:I60)</f>
        <v>825</v>
      </c>
      <c r="Q44" s="5">
        <f t="shared" si="4"/>
        <v>117.85714285714286</v>
      </c>
      <c r="R44" s="5">
        <f t="shared" si="6"/>
        <v>935</v>
      </c>
      <c r="S44" s="5">
        <f t="shared" si="5"/>
        <v>133.57142857142858</v>
      </c>
      <c r="T44" s="5">
        <f>AVERAGEIF(B2:B60,B44,D2:D60)</f>
        <v>2.9843537414965984</v>
      </c>
      <c r="U44" s="5">
        <f ca="1">AVERAGEIF(B2:B60,B44,E2:E20)</f>
        <v>20.114739229024941</v>
      </c>
      <c r="V44" s="5">
        <f>AVERAGEIF(B2:B60,B44,F2:F60)</f>
        <v>23.099092970521543</v>
      </c>
    </row>
    <row r="45" spans="1:22">
      <c r="A45" s="12" t="s">
        <v>41</v>
      </c>
      <c r="B45" s="13" t="s">
        <v>25</v>
      </c>
      <c r="C45" s="5">
        <v>3</v>
      </c>
      <c r="D45" s="14">
        <f>C45/H45</f>
        <v>1</v>
      </c>
      <c r="E45" s="14">
        <f>I45/H45</f>
        <v>24.666666666666668</v>
      </c>
      <c r="F45" s="14">
        <f t="shared" si="0"/>
        <v>25.666666666666668</v>
      </c>
      <c r="G45" s="5">
        <v>3</v>
      </c>
      <c r="H45" s="5">
        <v>3</v>
      </c>
      <c r="I45" s="5">
        <v>74</v>
      </c>
      <c r="J45" s="5">
        <f>C45+I45</f>
        <v>77</v>
      </c>
      <c r="K45" s="5">
        <f t="shared" si="7"/>
        <v>24.666666666666668</v>
      </c>
      <c r="L45" s="5">
        <f t="shared" si="2"/>
        <v>25.666666666666668</v>
      </c>
      <c r="M45" s="5">
        <f>COUNTIF(B2:B60,"Jeff Caldwell")</f>
        <v>4</v>
      </c>
      <c r="N45" s="5">
        <f>SUMIF(B2:B60,B45,C2:C60)</f>
        <v>3</v>
      </c>
      <c r="O45" s="5">
        <f t="shared" si="3"/>
        <v>0.75</v>
      </c>
      <c r="P45" s="5">
        <f>SUMIF(B2:B60, B45, I2:I60)</f>
        <v>135</v>
      </c>
      <c r="Q45" s="5">
        <f t="shared" si="4"/>
        <v>33.75</v>
      </c>
      <c r="R45" s="5">
        <f t="shared" si="6"/>
        <v>138</v>
      </c>
      <c r="S45" s="5">
        <f t="shared" si="5"/>
        <v>34.5</v>
      </c>
      <c r="T45" s="5">
        <f>AVERAGEIF(B2:B60,B45,D2:D60)</f>
        <v>0.25</v>
      </c>
      <c r="U45" s="5">
        <f ca="1">AVERAGEIF(B2:B60,B45,E2:E20)</f>
        <v>13.791666666666668</v>
      </c>
      <c r="V45" s="5">
        <f>AVERAGEIF(B2:B60,B45,F2:F60)</f>
        <v>14.041666666666668</v>
      </c>
    </row>
    <row r="46" spans="1:22">
      <c r="A46" s="12" t="s">
        <v>41</v>
      </c>
      <c r="B46" s="13" t="s">
        <v>24</v>
      </c>
      <c r="C46" s="5">
        <v>32</v>
      </c>
      <c r="D46" s="14">
        <f>C46/H46</f>
        <v>10.666666666666666</v>
      </c>
      <c r="E46" s="14">
        <f>I46/H46</f>
        <v>21</v>
      </c>
      <c r="F46" s="14">
        <f t="shared" si="0"/>
        <v>31.666666666666668</v>
      </c>
      <c r="G46" s="5">
        <v>10</v>
      </c>
      <c r="H46" s="5">
        <v>3</v>
      </c>
      <c r="I46" s="5">
        <v>63</v>
      </c>
      <c r="J46" s="5">
        <f>C46+I46</f>
        <v>95</v>
      </c>
      <c r="K46" s="5">
        <f t="shared" si="7"/>
        <v>21</v>
      </c>
      <c r="L46" s="5">
        <f t="shared" si="2"/>
        <v>31.666666666666668</v>
      </c>
      <c r="M46" s="5">
        <f>COUNTIF(B2:B60,"Kobe Smith")</f>
        <v>7</v>
      </c>
      <c r="N46" s="5">
        <f>SUMIF(B2:B60,B46,C2:C60)</f>
        <v>239</v>
      </c>
      <c r="O46" s="5">
        <f t="shared" si="3"/>
        <v>34.142857142857146</v>
      </c>
      <c r="P46" s="5">
        <f>SUMIF(B2:B60, B46, I2:I60)</f>
        <v>521</v>
      </c>
      <c r="Q46" s="5">
        <f t="shared" si="4"/>
        <v>74.428571428571431</v>
      </c>
      <c r="R46" s="5">
        <f t="shared" si="6"/>
        <v>760</v>
      </c>
      <c r="S46" s="5">
        <f t="shared" si="5"/>
        <v>108.57142857142857</v>
      </c>
      <c r="T46" s="5">
        <f>AVERAGEIF(B2:B60,B46,D2:D60)</f>
        <v>6.9095238095238107</v>
      </c>
      <c r="U46" s="5">
        <f ca="1">AVERAGEIF(B2:B60,B46,E2:E20)</f>
        <v>15.11904761904762</v>
      </c>
      <c r="V46" s="5">
        <f>AVERAGEIF(B2:B60,B46,F2:F60)</f>
        <v>22.028571428571432</v>
      </c>
    </row>
    <row r="47" spans="1:22">
      <c r="A47" s="12" t="s">
        <v>41</v>
      </c>
      <c r="B47" s="13" t="s">
        <v>42</v>
      </c>
      <c r="C47" s="5">
        <v>12</v>
      </c>
      <c r="D47" s="14">
        <f>C47/H47</f>
        <v>4</v>
      </c>
      <c r="E47" s="14">
        <f>I47/H47</f>
        <v>8.6666666666666661</v>
      </c>
      <c r="F47" s="14">
        <f t="shared" si="0"/>
        <v>12.666666666666666</v>
      </c>
      <c r="G47" s="5">
        <v>3</v>
      </c>
      <c r="H47" s="5">
        <v>3</v>
      </c>
      <c r="I47" s="5">
        <v>26</v>
      </c>
      <c r="J47" s="5">
        <f>C47+I47</f>
        <v>38</v>
      </c>
      <c r="K47" s="5">
        <f t="shared" si="7"/>
        <v>8.6666666666666661</v>
      </c>
      <c r="L47" s="5">
        <f t="shared" si="2"/>
        <v>12.666666666666666</v>
      </c>
      <c r="M47" s="5">
        <f>COUNTIF(B2:B60,"Jared Rhodes")</f>
        <v>1</v>
      </c>
      <c r="N47" s="5">
        <f>SUMIF(B2:B60,B47,C2:C60)</f>
        <v>12</v>
      </c>
      <c r="O47" s="5">
        <f t="shared" si="3"/>
        <v>12</v>
      </c>
      <c r="P47" s="5">
        <f>SUMIF(B2:B60, B47, I2:I60)</f>
        <v>26</v>
      </c>
      <c r="Q47" s="5">
        <f t="shared" si="4"/>
        <v>26</v>
      </c>
      <c r="R47" s="5">
        <f t="shared" si="6"/>
        <v>38</v>
      </c>
      <c r="S47" s="5">
        <f t="shared" si="5"/>
        <v>38</v>
      </c>
      <c r="T47" s="5">
        <f>AVERAGEIF(B2:B60,B47,D2:D60)</f>
        <v>4</v>
      </c>
      <c r="U47" s="5">
        <f ca="1">AVERAGEIF(B2:B60,B47,E2:E20)</f>
        <v>8.6666666666666661</v>
      </c>
      <c r="V47" s="5">
        <f>AVERAGEIF(B2:B60,B47,F2:F60)</f>
        <v>12.666666666666666</v>
      </c>
    </row>
    <row r="48" spans="1:22">
      <c r="A48" s="12" t="s">
        <v>41</v>
      </c>
      <c r="B48" s="13" t="s">
        <v>29</v>
      </c>
      <c r="C48" s="5">
        <v>12</v>
      </c>
      <c r="D48" s="14">
        <f>C48/H48</f>
        <v>4</v>
      </c>
      <c r="E48" s="14">
        <f>I48/H48</f>
        <v>8</v>
      </c>
      <c r="F48" s="14">
        <f t="shared" si="0"/>
        <v>12</v>
      </c>
      <c r="G48" s="5">
        <v>3</v>
      </c>
      <c r="H48" s="5">
        <v>3</v>
      </c>
      <c r="I48" s="5">
        <v>24</v>
      </c>
      <c r="J48" s="5">
        <f>C48+I48</f>
        <v>36</v>
      </c>
      <c r="K48" s="5">
        <f t="shared" si="7"/>
        <v>8</v>
      </c>
      <c r="L48" s="5">
        <f t="shared" si="2"/>
        <v>12</v>
      </c>
      <c r="M48" s="5">
        <f>COUNTIF(B2:B60,"Andrew Martin")</f>
        <v>6</v>
      </c>
      <c r="N48" s="5">
        <f>SUMIF(B2:B60,B48,C2:C60)</f>
        <v>124</v>
      </c>
      <c r="O48" s="5">
        <f t="shared" si="3"/>
        <v>20.666666666666668</v>
      </c>
      <c r="P48" s="5">
        <f>SUMIF(B2:B60, B48, I2:I60)</f>
        <v>141</v>
      </c>
      <c r="Q48" s="5">
        <f t="shared" si="4"/>
        <v>23.5</v>
      </c>
      <c r="R48" s="5">
        <f t="shared" si="6"/>
        <v>265</v>
      </c>
      <c r="S48" s="5">
        <f t="shared" si="5"/>
        <v>44.166666666666664</v>
      </c>
      <c r="T48" s="5">
        <f>AVERAGEIF(B2:B60,B48,D2:D60)</f>
        <v>8.5916666666666668</v>
      </c>
      <c r="U48" s="5">
        <f ca="1">AVERAGEIF(B2:B60,B48,E2:E20)</f>
        <v>8.75</v>
      </c>
      <c r="V48" s="5">
        <f>AVERAGEIF(B2:B60,B48,F2:F60)</f>
        <v>17.341666666666665</v>
      </c>
    </row>
    <row r="49" spans="1:22">
      <c r="A49" s="12" t="s">
        <v>41</v>
      </c>
      <c r="B49" s="13" t="s">
        <v>28</v>
      </c>
      <c r="C49" s="5">
        <v>6</v>
      </c>
      <c r="D49" s="14">
        <f>C49/H49</f>
        <v>3</v>
      </c>
      <c r="E49" s="14">
        <f>I49/H49</f>
        <v>5</v>
      </c>
      <c r="F49" s="14">
        <f t="shared" si="0"/>
        <v>8</v>
      </c>
      <c r="G49" s="5">
        <v>2</v>
      </c>
      <c r="H49" s="5">
        <v>2</v>
      </c>
      <c r="I49" s="5">
        <v>10</v>
      </c>
      <c r="J49" s="5">
        <f>C49+I49</f>
        <v>16</v>
      </c>
      <c r="K49" s="5">
        <f t="shared" si="7"/>
        <v>5</v>
      </c>
      <c r="L49" s="5">
        <f t="shared" si="2"/>
        <v>8</v>
      </c>
      <c r="M49" s="5">
        <f>COUNTIF(B2:B60,"Jalen Bethany")</f>
        <v>7</v>
      </c>
      <c r="N49" s="5">
        <f>SUMIF(B2:B60,B49,C2:C60)</f>
        <v>29</v>
      </c>
      <c r="O49" s="5">
        <f t="shared" si="3"/>
        <v>4.1428571428571432</v>
      </c>
      <c r="P49" s="5">
        <f>SUMIF(B2:B60, B49, I2:I60)</f>
        <v>145</v>
      </c>
      <c r="Q49" s="5">
        <f t="shared" si="4"/>
        <v>20.714285714285715</v>
      </c>
      <c r="R49" s="5">
        <f t="shared" si="6"/>
        <v>174</v>
      </c>
      <c r="S49" s="5">
        <f t="shared" si="5"/>
        <v>24.857142857142858</v>
      </c>
      <c r="T49" s="5">
        <f>AVERAGEIF(B2:B60,B49,D2:D60)</f>
        <v>2.0476190476190479</v>
      </c>
      <c r="U49" s="5">
        <f ca="1">AVERAGEIF(B2:B60,B49,E2:E20)</f>
        <v>9.9285714285714288</v>
      </c>
      <c r="V49" s="5">
        <f>AVERAGEIF(B2:B60,B49,F2:F60)</f>
        <v>11.976190476190478</v>
      </c>
    </row>
    <row r="50" spans="1:22">
      <c r="A50" s="12" t="s">
        <v>41</v>
      </c>
      <c r="B50" s="13" t="s">
        <v>43</v>
      </c>
      <c r="C50" s="5">
        <v>0</v>
      </c>
      <c r="D50" s="14">
        <f>C50/H50</f>
        <v>0</v>
      </c>
      <c r="E50" s="14">
        <f>I50/H50</f>
        <v>29</v>
      </c>
      <c r="F50" s="14">
        <f t="shared" si="0"/>
        <v>29</v>
      </c>
      <c r="G50" s="5">
        <v>1</v>
      </c>
      <c r="H50" s="5">
        <v>1</v>
      </c>
      <c r="I50" s="5">
        <v>29</v>
      </c>
      <c r="J50" s="5">
        <f>C50+I50</f>
        <v>29</v>
      </c>
      <c r="K50" s="5">
        <f t="shared" si="7"/>
        <v>29</v>
      </c>
      <c r="L50" s="5">
        <f t="shared" si="2"/>
        <v>29</v>
      </c>
      <c r="M50" s="5">
        <f>COUNTIF(B2:B60,"Drew Krobath")</f>
        <v>1</v>
      </c>
      <c r="N50" s="5">
        <f>SUMIF(B2:B60,B50,C2:C60)</f>
        <v>0</v>
      </c>
      <c r="O50" s="5">
        <f t="shared" si="3"/>
        <v>0</v>
      </c>
      <c r="P50" s="5">
        <f>SUMIF(B2:B60, B50, I2:I60)</f>
        <v>29</v>
      </c>
      <c r="Q50" s="5">
        <f t="shared" si="4"/>
        <v>29</v>
      </c>
      <c r="R50" s="5">
        <f t="shared" si="6"/>
        <v>29</v>
      </c>
      <c r="S50" s="5">
        <f t="shared" si="5"/>
        <v>29</v>
      </c>
      <c r="T50" s="5">
        <f>AVERAGEIF(B2:B60,B50,D2:D60)</f>
        <v>0</v>
      </c>
      <c r="U50" s="5">
        <f ca="1">AVERAGEIF(B2:B60,B50,E2:E20)</f>
        <v>29</v>
      </c>
      <c r="V50" s="5">
        <f>AVERAGEIF(B2:B60,B50,F2:F60)</f>
        <v>29</v>
      </c>
    </row>
    <row r="51" spans="1:22">
      <c r="A51" s="12" t="s">
        <v>41</v>
      </c>
      <c r="B51" s="13" t="s">
        <v>26</v>
      </c>
      <c r="C51" s="5">
        <v>3</v>
      </c>
      <c r="D51" s="14">
        <f>C51/H51</f>
        <v>3</v>
      </c>
      <c r="E51" s="14">
        <f>I51/H51</f>
        <v>14</v>
      </c>
      <c r="F51" s="14">
        <f t="shared" si="0"/>
        <v>17</v>
      </c>
      <c r="G51" s="5">
        <v>1</v>
      </c>
      <c r="H51" s="5">
        <v>1</v>
      </c>
      <c r="I51" s="5">
        <v>14</v>
      </c>
      <c r="J51" s="5">
        <f>C51+I51</f>
        <v>17</v>
      </c>
      <c r="K51" s="5">
        <f t="shared" si="7"/>
        <v>14</v>
      </c>
      <c r="L51" s="5">
        <f t="shared" si="2"/>
        <v>17</v>
      </c>
      <c r="M51" s="5">
        <f>COUNTIF(B2:B60,"Spencer Redd")</f>
        <v>6</v>
      </c>
      <c r="N51" s="5">
        <f>SUMIF(B2:B60,B51,C2:C60)</f>
        <v>45</v>
      </c>
      <c r="O51" s="5">
        <f t="shared" si="3"/>
        <v>7.5</v>
      </c>
      <c r="P51" s="5">
        <f>SUMIF(B2:B60, B51, I2:I60)</f>
        <v>121</v>
      </c>
      <c r="Q51" s="5">
        <f t="shared" si="4"/>
        <v>20.166666666666668</v>
      </c>
      <c r="R51" s="5">
        <f t="shared" si="6"/>
        <v>166</v>
      </c>
      <c r="S51" s="5">
        <f t="shared" si="5"/>
        <v>27.666666666666668</v>
      </c>
      <c r="T51" s="5">
        <f>AVERAGEIF(B2:B60,B51,D2:D60)</f>
        <v>3.7333333333333329</v>
      </c>
      <c r="U51" s="5">
        <f ca="1">AVERAGEIF(B2:B60,B51,E2:E20)</f>
        <v>11.966666666666667</v>
      </c>
      <c r="V51" s="5">
        <f>AVERAGEIF(B2:B60,B51,F2:F60)</f>
        <v>15.700000000000001</v>
      </c>
    </row>
    <row r="52" spans="1:22">
      <c r="A52" s="12" t="s">
        <v>41</v>
      </c>
      <c r="B52" s="13" t="s">
        <v>27</v>
      </c>
      <c r="C52" s="5">
        <v>0</v>
      </c>
      <c r="D52" s="14">
        <f>C52/H52</f>
        <v>0</v>
      </c>
      <c r="E52" s="14">
        <f>I52/H52</f>
        <v>5</v>
      </c>
      <c r="F52" s="14">
        <f t="shared" si="0"/>
        <v>5</v>
      </c>
      <c r="G52" s="5">
        <v>1</v>
      </c>
      <c r="H52" s="5">
        <v>1</v>
      </c>
      <c r="I52" s="5">
        <v>5</v>
      </c>
      <c r="J52" s="5">
        <f>C52+I52</f>
        <v>5</v>
      </c>
      <c r="K52" s="5">
        <f t="shared" si="7"/>
        <v>5</v>
      </c>
      <c r="L52" s="5">
        <f t="shared" si="2"/>
        <v>5</v>
      </c>
      <c r="M52" s="5">
        <f>COUNTIF(B2:B60,"Chase Lanckriet")</f>
        <v>6</v>
      </c>
      <c r="N52" s="5">
        <f>SUMIF(B2:B60,B52,C2:C60)</f>
        <v>83</v>
      </c>
      <c r="O52" s="5">
        <f t="shared" si="3"/>
        <v>13.833333333333334</v>
      </c>
      <c r="P52" s="5">
        <f>SUMIF(B2:B60, B52, I2:I60)</f>
        <v>231</v>
      </c>
      <c r="Q52" s="5">
        <f t="shared" si="4"/>
        <v>38.5</v>
      </c>
      <c r="R52" s="5">
        <f t="shared" si="6"/>
        <v>314</v>
      </c>
      <c r="S52" s="5">
        <f t="shared" si="5"/>
        <v>52.333333333333336</v>
      </c>
      <c r="T52" s="5">
        <f>AVERAGEIF(B2:B60,B52,D2:D60)</f>
        <v>3.0333333333333332</v>
      </c>
      <c r="U52" s="5">
        <f ca="1">AVERAGEIF(B2:B60,B52,E2:E20)</f>
        <v>9.8944444444444439</v>
      </c>
      <c r="V52" s="5">
        <f>AVERAGEIF(B2:B60,B52,F2:F60)</f>
        <v>12.927777777777777</v>
      </c>
    </row>
    <row r="53" spans="1:22">
      <c r="A53" s="12" t="s">
        <v>41</v>
      </c>
      <c r="B53" s="13" t="s">
        <v>30</v>
      </c>
      <c r="C53" s="5">
        <v>0</v>
      </c>
      <c r="D53" s="14">
        <v>0</v>
      </c>
      <c r="E53" s="14">
        <v>0</v>
      </c>
      <c r="F53" s="14">
        <v>0</v>
      </c>
      <c r="G53" s="5">
        <v>1</v>
      </c>
      <c r="H53" s="5">
        <v>0</v>
      </c>
      <c r="I53" s="5">
        <v>0</v>
      </c>
      <c r="J53" s="5">
        <f>C53+I53</f>
        <v>0</v>
      </c>
      <c r="K53" s="5">
        <v>0</v>
      </c>
      <c r="L53" s="5">
        <v>0</v>
      </c>
      <c r="M53" s="5">
        <f>COUNTIF(B2:B60,"Dom McManus")</f>
        <v>3</v>
      </c>
      <c r="N53" s="5">
        <f>SUMIF(B2:B60,B53,C2:C60)</f>
        <v>6</v>
      </c>
      <c r="O53" s="5">
        <f t="shared" si="3"/>
        <v>2</v>
      </c>
      <c r="P53" s="5">
        <f>SUMIF(B2:B60, B53, I2:I60)</f>
        <v>20</v>
      </c>
      <c r="Q53" s="5">
        <f t="shared" si="4"/>
        <v>6.666666666666667</v>
      </c>
      <c r="R53" s="5">
        <f t="shared" si="6"/>
        <v>26</v>
      </c>
      <c r="S53" s="5">
        <f t="shared" si="5"/>
        <v>8.6666666666666661</v>
      </c>
      <c r="T53" s="5">
        <f>AVERAGEIF(B2:B60,B53,D2:D60)</f>
        <v>2</v>
      </c>
      <c r="U53" s="5">
        <f ca="1">AVERAGEIF(B2:B60,B53,E2:E20)</f>
        <v>6.666666666666667</v>
      </c>
      <c r="V53" s="5">
        <f>AVERAGEIF(B2:B60,B53,F2:F60)</f>
        <v>8.6666666666666661</v>
      </c>
    </row>
    <row r="54" spans="1:22">
      <c r="A54" s="12" t="s">
        <v>44</v>
      </c>
      <c r="B54" s="13" t="s">
        <v>23</v>
      </c>
      <c r="C54" s="5">
        <v>19</v>
      </c>
      <c r="D54" s="14">
        <f>C54/H54</f>
        <v>1.9</v>
      </c>
      <c r="E54" s="14">
        <f>I54/H54</f>
        <v>13.1</v>
      </c>
      <c r="F54" s="14">
        <f t="shared" si="0"/>
        <v>15</v>
      </c>
      <c r="G54" s="5">
        <v>13</v>
      </c>
      <c r="H54" s="5">
        <v>10</v>
      </c>
      <c r="I54" s="5">
        <v>131</v>
      </c>
      <c r="J54" s="5">
        <f>C54+I54</f>
        <v>150</v>
      </c>
      <c r="K54" s="5">
        <f t="shared" si="7"/>
        <v>13.1</v>
      </c>
      <c r="L54" s="5">
        <f t="shared" si="2"/>
        <v>15</v>
      </c>
      <c r="M54" s="5">
        <f>COUNTIF(B2:B60,"Payton Rose")</f>
        <v>7</v>
      </c>
      <c r="N54" s="5">
        <f>SUMIF(B2:B60,B54,C2:C60)</f>
        <v>110</v>
      </c>
      <c r="O54" s="5">
        <f t="shared" si="3"/>
        <v>15.714285714285714</v>
      </c>
      <c r="P54" s="5">
        <f>SUMIF(B2:B60, B54, I2:I60)</f>
        <v>825</v>
      </c>
      <c r="Q54" s="5">
        <f t="shared" si="4"/>
        <v>117.85714285714286</v>
      </c>
      <c r="R54" s="5">
        <f t="shared" si="6"/>
        <v>935</v>
      </c>
      <c r="S54" s="5">
        <f t="shared" si="5"/>
        <v>133.57142857142858</v>
      </c>
      <c r="T54" s="5">
        <f>AVERAGEIF(B2:B60,B54,D2:D60)</f>
        <v>2.9843537414965984</v>
      </c>
      <c r="U54" s="5">
        <f ca="1">AVERAGEIF(B2:B60,B54,E2:E20)</f>
        <v>20.114739229024941</v>
      </c>
      <c r="V54" s="5">
        <f>AVERAGEIF(B2:B60,B54,F2:F60)</f>
        <v>23.099092970521543</v>
      </c>
    </row>
    <row r="55" spans="1:22">
      <c r="A55" s="12" t="s">
        <v>44</v>
      </c>
      <c r="B55" s="13" t="s">
        <v>24</v>
      </c>
      <c r="C55" s="5">
        <v>41</v>
      </c>
      <c r="D55" s="14">
        <f>C55/H55</f>
        <v>6.833333333333333</v>
      </c>
      <c r="E55" s="14">
        <f>I55/H55</f>
        <v>10.5</v>
      </c>
      <c r="F55" s="14">
        <f t="shared" si="0"/>
        <v>17.333333333333332</v>
      </c>
      <c r="G55" s="5">
        <v>8</v>
      </c>
      <c r="H55" s="5">
        <v>6</v>
      </c>
      <c r="I55" s="5">
        <v>63</v>
      </c>
      <c r="J55" s="5">
        <f>C55+I55</f>
        <v>104</v>
      </c>
      <c r="K55" s="5">
        <f t="shared" si="7"/>
        <v>10.5</v>
      </c>
      <c r="L55" s="5">
        <f t="shared" si="2"/>
        <v>17.333333333333332</v>
      </c>
      <c r="M55" s="5">
        <f>COUNTIF(B2:B60,"Kobe Smith")</f>
        <v>7</v>
      </c>
      <c r="N55" s="5">
        <f>SUMIF(B2:B60,B55,C2:C60)</f>
        <v>239</v>
      </c>
      <c r="O55" s="5">
        <f t="shared" si="3"/>
        <v>34.142857142857146</v>
      </c>
      <c r="P55" s="5">
        <f>SUMIF(B2:B60, B55, I2:I60)</f>
        <v>521</v>
      </c>
      <c r="Q55" s="5">
        <f t="shared" si="4"/>
        <v>74.428571428571431</v>
      </c>
      <c r="R55" s="5">
        <f t="shared" si="6"/>
        <v>760</v>
      </c>
      <c r="S55" s="5">
        <f t="shared" si="5"/>
        <v>108.57142857142857</v>
      </c>
      <c r="T55" s="5">
        <f>AVERAGEIF(B2:B60,B55,D2:D60)</f>
        <v>6.9095238095238107</v>
      </c>
      <c r="U55" s="5">
        <f ca="1">AVERAGEIF(B2:B60,B55,E2:E20)</f>
        <v>15.11904761904762</v>
      </c>
      <c r="V55" s="5">
        <f>AVERAGEIF(B2:B60,B55,F2:F60)</f>
        <v>22.028571428571432</v>
      </c>
    </row>
    <row r="56" spans="1:22">
      <c r="A56" s="12" t="s">
        <v>44</v>
      </c>
      <c r="B56" s="13" t="s">
        <v>28</v>
      </c>
      <c r="C56" s="5">
        <v>6</v>
      </c>
      <c r="D56" s="14">
        <f>C56/H56</f>
        <v>2</v>
      </c>
      <c r="E56" s="14">
        <f>I56/H56</f>
        <v>9.6666666666666661</v>
      </c>
      <c r="F56" s="14">
        <f t="shared" si="0"/>
        <v>11.666666666666666</v>
      </c>
      <c r="G56" s="5">
        <v>4</v>
      </c>
      <c r="H56" s="5">
        <v>3</v>
      </c>
      <c r="I56" s="5">
        <v>29</v>
      </c>
      <c r="J56" s="5">
        <f>C56+I56</f>
        <v>35</v>
      </c>
      <c r="K56" s="5">
        <f t="shared" si="7"/>
        <v>9.6666666666666661</v>
      </c>
      <c r="L56" s="5">
        <f t="shared" si="2"/>
        <v>11.666666666666666</v>
      </c>
      <c r="M56" s="5">
        <f>COUNTIF(B2:B60,"Jalen Bethany")</f>
        <v>7</v>
      </c>
      <c r="N56" s="5">
        <f>SUMIF(B2:B60,B56,C2:C60)</f>
        <v>29</v>
      </c>
      <c r="O56" s="5">
        <f t="shared" si="3"/>
        <v>4.1428571428571432</v>
      </c>
      <c r="P56" s="5">
        <f>SUMIF(B2:B60, B56, I2:I60)</f>
        <v>145</v>
      </c>
      <c r="Q56" s="5">
        <f t="shared" si="4"/>
        <v>20.714285714285715</v>
      </c>
      <c r="R56" s="5">
        <f t="shared" si="6"/>
        <v>174</v>
      </c>
      <c r="S56" s="5">
        <f t="shared" si="5"/>
        <v>24.857142857142858</v>
      </c>
      <c r="T56" s="5">
        <f>AVERAGEIF(B2:B60,B56,D2:D60)</f>
        <v>2.0476190476190479</v>
      </c>
      <c r="U56" s="5">
        <f ca="1">AVERAGEIF(B2:B60,B56,E2:E20)</f>
        <v>9.9285714285714288</v>
      </c>
      <c r="V56" s="5">
        <f>AVERAGEIF(B2:B60,B56,F2:F60)</f>
        <v>11.976190476190478</v>
      </c>
    </row>
    <row r="57" spans="1:22">
      <c r="A57" s="12" t="s">
        <v>44</v>
      </c>
      <c r="B57" s="13" t="s">
        <v>45</v>
      </c>
      <c r="C57" s="5">
        <v>23</v>
      </c>
      <c r="D57" s="14">
        <f>C57/H57</f>
        <v>7.666666666666667</v>
      </c>
      <c r="E57" s="14">
        <f>I57/H57</f>
        <v>9.3333333333333339</v>
      </c>
      <c r="F57" s="14">
        <f t="shared" si="0"/>
        <v>17</v>
      </c>
      <c r="G57" s="5">
        <v>3</v>
      </c>
      <c r="H57" s="5">
        <v>3</v>
      </c>
      <c r="I57" s="5">
        <v>28</v>
      </c>
      <c r="J57" s="5">
        <f>C57+I57</f>
        <v>51</v>
      </c>
      <c r="K57" s="5">
        <f t="shared" si="7"/>
        <v>9.3333333333333339</v>
      </c>
      <c r="L57" s="5">
        <f t="shared" si="2"/>
        <v>17</v>
      </c>
      <c r="M57" s="5">
        <f>COUNTIF(B2:B60,"Donovan Marshall")</f>
        <v>1</v>
      </c>
      <c r="N57" s="5">
        <f>SUMIF(B2:B60,B57,C2:C60)</f>
        <v>23</v>
      </c>
      <c r="O57" s="5">
        <f t="shared" si="3"/>
        <v>23</v>
      </c>
      <c r="P57" s="5">
        <f>SUMIF(B2:B60, B57, I2:I60)</f>
        <v>28</v>
      </c>
      <c r="Q57" s="5">
        <f t="shared" si="4"/>
        <v>28</v>
      </c>
      <c r="R57" s="5">
        <f t="shared" si="6"/>
        <v>51</v>
      </c>
      <c r="S57" s="5">
        <f t="shared" si="5"/>
        <v>51</v>
      </c>
      <c r="T57" s="5">
        <f>AVERAGEIF(B2:B60,B57,D2:D60)</f>
        <v>7.666666666666667</v>
      </c>
      <c r="U57" s="5">
        <f ca="1">AVERAGEIF(B2:B60,B57,E2:E20)</f>
        <v>9.3333333333333339</v>
      </c>
      <c r="V57" s="5">
        <f>AVERAGEIF(B2:B60,B57,F2:F60)</f>
        <v>17</v>
      </c>
    </row>
    <row r="58" spans="1:22">
      <c r="A58" s="12" t="s">
        <v>44</v>
      </c>
      <c r="B58" s="13" t="s">
        <v>29</v>
      </c>
      <c r="C58" s="5">
        <v>9</v>
      </c>
      <c r="D58" s="14">
        <f>C58/H58</f>
        <v>9</v>
      </c>
      <c r="E58" s="14">
        <f>I58/H58</f>
        <v>12</v>
      </c>
      <c r="F58" s="14">
        <f t="shared" si="0"/>
        <v>21</v>
      </c>
      <c r="G58" s="5">
        <v>1</v>
      </c>
      <c r="H58" s="5">
        <v>1</v>
      </c>
      <c r="I58" s="5">
        <v>12</v>
      </c>
      <c r="J58" s="5">
        <f>C58+I58</f>
        <v>21</v>
      </c>
      <c r="K58" s="5">
        <f t="shared" si="7"/>
        <v>12</v>
      </c>
      <c r="L58" s="5">
        <f t="shared" si="2"/>
        <v>21</v>
      </c>
      <c r="M58" s="5">
        <f>COUNTIF(B2:B60,"Andrew Martin")</f>
        <v>6</v>
      </c>
      <c r="N58" s="5">
        <f>SUMIF(B2:B60,B58,C2:C60)</f>
        <v>124</v>
      </c>
      <c r="O58" s="5">
        <f t="shared" si="3"/>
        <v>20.666666666666668</v>
      </c>
      <c r="P58" s="5">
        <f>SUMIF(B2:B60, B58, I2:I60)</f>
        <v>141</v>
      </c>
      <c r="Q58" s="5">
        <f t="shared" si="4"/>
        <v>23.5</v>
      </c>
      <c r="R58" s="5">
        <f t="shared" si="6"/>
        <v>265</v>
      </c>
      <c r="S58" s="5">
        <f t="shared" si="5"/>
        <v>44.166666666666664</v>
      </c>
      <c r="T58" s="5">
        <f>AVERAGEIF(B2:B60,B58,D2:D60)</f>
        <v>8.5916666666666668</v>
      </c>
      <c r="U58" s="5">
        <f ca="1">AVERAGEIF(B2:B60,B58,E2:E20)</f>
        <v>8.75</v>
      </c>
      <c r="V58" s="5">
        <f>AVERAGEIF(B2:B60,B58,F2:F60)</f>
        <v>17.341666666666665</v>
      </c>
    </row>
    <row r="59" spans="1:22">
      <c r="A59" s="12" t="s">
        <v>44</v>
      </c>
      <c r="B59" s="13" t="s">
        <v>46</v>
      </c>
      <c r="C59" s="5">
        <v>0</v>
      </c>
      <c r="D59" s="14">
        <f>C59/H59</f>
        <v>0</v>
      </c>
      <c r="E59" s="14">
        <f>I59/H59</f>
        <v>6</v>
      </c>
      <c r="F59" s="14">
        <f t="shared" si="0"/>
        <v>6</v>
      </c>
      <c r="G59" s="5">
        <v>1</v>
      </c>
      <c r="H59" s="5">
        <v>1</v>
      </c>
      <c r="I59" s="5">
        <v>6</v>
      </c>
      <c r="J59" s="5">
        <f>C59+I59</f>
        <v>6</v>
      </c>
      <c r="K59" s="5">
        <f t="shared" si="7"/>
        <v>6</v>
      </c>
      <c r="L59" s="5">
        <f t="shared" si="2"/>
        <v>6</v>
      </c>
      <c r="M59" s="5">
        <f>COUNTIF(B2:B60,"Caleb Unwiller")</f>
        <v>1</v>
      </c>
      <c r="N59" s="5">
        <f>SUMIF(B2:B60,B59,C2:C60)</f>
        <v>0</v>
      </c>
      <c r="O59" s="5">
        <f t="shared" si="3"/>
        <v>0</v>
      </c>
      <c r="P59" s="5">
        <f>SUMIF(B2:B60, B59, I2:I60)</f>
        <v>6</v>
      </c>
      <c r="Q59" s="5">
        <f t="shared" si="4"/>
        <v>6</v>
      </c>
      <c r="R59" s="5">
        <f t="shared" si="6"/>
        <v>6</v>
      </c>
      <c r="S59" s="5">
        <f t="shared" si="5"/>
        <v>6</v>
      </c>
      <c r="T59" s="5">
        <f>AVERAGEIF(B2:B60,B59,D2:D60)</f>
        <v>0</v>
      </c>
      <c r="U59" s="5">
        <f ca="1">AVERAGEIF(B2:B60,B59,E2:E20)</f>
        <v>6</v>
      </c>
      <c r="V59" s="5">
        <f>AVERAGEIF(B2:B60,B59,F2:F60)</f>
        <v>6</v>
      </c>
    </row>
    <row r="60" spans="1:22">
      <c r="A60" s="12" t="s">
        <v>44</v>
      </c>
      <c r="B60" s="13" t="s">
        <v>36</v>
      </c>
      <c r="C60" s="5">
        <v>0</v>
      </c>
      <c r="D60" s="14">
        <v>0</v>
      </c>
      <c r="E60" s="14">
        <v>0</v>
      </c>
      <c r="F60" s="14">
        <v>0</v>
      </c>
      <c r="G60" s="5">
        <v>1</v>
      </c>
      <c r="H60" s="5">
        <v>0</v>
      </c>
      <c r="I60" s="5">
        <v>0</v>
      </c>
      <c r="J60" s="5">
        <f>C60+I60</f>
        <v>0</v>
      </c>
      <c r="K60" s="5">
        <v>0</v>
      </c>
      <c r="L60" s="5">
        <v>0</v>
      </c>
      <c r="M60" s="5">
        <f>COUNTIF(B2:B60,"Abraham Haerr")</f>
        <v>3</v>
      </c>
      <c r="N60" s="5">
        <f>SUMIF(B2:B60,B60,C2:C60)</f>
        <v>6</v>
      </c>
      <c r="O60" s="5">
        <f t="shared" si="3"/>
        <v>2</v>
      </c>
      <c r="P60" s="5">
        <f>SUMIF(B2:B60, B60, I2:I60)</f>
        <v>16</v>
      </c>
      <c r="Q60" s="5">
        <f t="shared" si="4"/>
        <v>5.333333333333333</v>
      </c>
      <c r="R60" s="5">
        <f t="shared" si="6"/>
        <v>22</v>
      </c>
      <c r="S60" s="5">
        <f t="shared" si="5"/>
        <v>7.333333333333333</v>
      </c>
      <c r="T60" s="5">
        <f>AVERAGEIF(B2:B60,B60,D2:D60)</f>
        <v>0.66666666666666663</v>
      </c>
      <c r="U60" s="5">
        <f ca="1">AVERAGEIF(B2:B60,B60,E2:E20)</f>
        <v>1.7777777777777777</v>
      </c>
      <c r="V60" s="5">
        <f>AVERAGEIF(B2:B60,B60,F2:F60)</f>
        <v>2.4444444444444442</v>
      </c>
    </row>
  </sheetData>
  <pageMargins left="0.7" right="0.7" top="0.75" bottom="0.75" header="0.3" footer="0.3"/>
  <ignoredErrors>
    <ignoredError sqref="D13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136D-C481-447B-B26E-B47A462CF1D7}">
  <dimension ref="A3:G41"/>
  <sheetViews>
    <sheetView tabSelected="1" topLeftCell="B32" workbookViewId="0">
      <selection activeCell="Q6" sqref="Q6"/>
    </sheetView>
  </sheetViews>
  <sheetFormatPr defaultRowHeight="15"/>
  <cols>
    <col min="1" max="1" width="17.140625" bestFit="1" customWidth="1"/>
    <col min="2" max="2" width="29.7109375" bestFit="1" customWidth="1"/>
    <col min="3" max="3" width="5.140625" bestFit="1" customWidth="1"/>
    <col min="4" max="4" width="2.28515625" bestFit="1" customWidth="1"/>
    <col min="5" max="5" width="2.28515625" customWidth="1"/>
    <col min="6" max="6" width="26" customWidth="1"/>
    <col min="7" max="7" width="29.42578125" customWidth="1"/>
    <col min="8" max="8" width="12.5703125" bestFit="1" customWidth="1"/>
    <col min="9" max="9" width="3.28515625" bestFit="1" customWidth="1"/>
    <col min="10" max="11" width="12.5703125" bestFit="1" customWidth="1"/>
    <col min="12" max="12" width="5.140625" bestFit="1" customWidth="1"/>
    <col min="13" max="13" width="12.5703125" bestFit="1" customWidth="1"/>
    <col min="14" max="14" width="3.28515625" bestFit="1" customWidth="1"/>
    <col min="15" max="15" width="12.5703125" bestFit="1" customWidth="1"/>
    <col min="16" max="16" width="11.7109375" bestFit="1" customWidth="1"/>
  </cols>
  <sheetData>
    <row r="3" spans="1:7">
      <c r="A3" s="2" t="s">
        <v>1</v>
      </c>
      <c r="B3" s="2" t="s">
        <v>47</v>
      </c>
      <c r="F3" s="3" t="s">
        <v>1</v>
      </c>
      <c r="G3" s="3" t="s">
        <v>47</v>
      </c>
    </row>
    <row r="4" spans="1:7">
      <c r="A4" t="s">
        <v>36</v>
      </c>
      <c r="B4">
        <v>2</v>
      </c>
      <c r="F4" s="4" t="s">
        <v>36</v>
      </c>
      <c r="G4" s="5">
        <v>2</v>
      </c>
    </row>
    <row r="5" spans="1:7">
      <c r="A5" t="s">
        <v>48</v>
      </c>
      <c r="F5" s="4" t="s">
        <v>29</v>
      </c>
      <c r="G5" s="5">
        <v>20.666666666666668</v>
      </c>
    </row>
    <row r="6" spans="1:7">
      <c r="A6" t="s">
        <v>29</v>
      </c>
      <c r="B6">
        <v>20.666666666666668</v>
      </c>
      <c r="F6" s="4" t="s">
        <v>46</v>
      </c>
      <c r="G6" s="5">
        <v>0</v>
      </c>
    </row>
    <row r="7" spans="1:7">
      <c r="A7" t="s">
        <v>49</v>
      </c>
      <c r="F7" s="4" t="s">
        <v>27</v>
      </c>
      <c r="G7" s="5">
        <v>13.833333333333334</v>
      </c>
    </row>
    <row r="8" spans="1:7">
      <c r="A8" t="s">
        <v>46</v>
      </c>
      <c r="B8">
        <v>0</v>
      </c>
      <c r="F8" s="4" t="s">
        <v>40</v>
      </c>
      <c r="G8" s="5">
        <v>0</v>
      </c>
    </row>
    <row r="9" spans="1:7">
      <c r="A9" t="s">
        <v>50</v>
      </c>
      <c r="F9" s="4" t="s">
        <v>34</v>
      </c>
      <c r="G9" s="5">
        <v>0</v>
      </c>
    </row>
    <row r="10" spans="1:7">
      <c r="A10" t="s">
        <v>27</v>
      </c>
      <c r="B10">
        <v>13.833333333333334</v>
      </c>
      <c r="F10" s="4" t="s">
        <v>30</v>
      </c>
      <c r="G10" s="5">
        <v>2</v>
      </c>
    </row>
    <row r="11" spans="1:7">
      <c r="A11" t="s">
        <v>51</v>
      </c>
      <c r="F11" s="4" t="s">
        <v>45</v>
      </c>
      <c r="G11" s="5">
        <v>23</v>
      </c>
    </row>
    <row r="12" spans="1:7">
      <c r="A12" t="s">
        <v>40</v>
      </c>
      <c r="B12">
        <v>0</v>
      </c>
      <c r="F12" s="4" t="s">
        <v>43</v>
      </c>
      <c r="G12" s="5">
        <v>0</v>
      </c>
    </row>
    <row r="13" spans="1:7">
      <c r="A13" t="s">
        <v>52</v>
      </c>
      <c r="F13" s="4" t="s">
        <v>28</v>
      </c>
      <c r="G13" s="5">
        <v>4.1428571428571432</v>
      </c>
    </row>
    <row r="14" spans="1:7">
      <c r="A14" t="s">
        <v>34</v>
      </c>
      <c r="B14">
        <v>0</v>
      </c>
      <c r="F14" s="4" t="s">
        <v>42</v>
      </c>
      <c r="G14" s="5">
        <v>12</v>
      </c>
    </row>
    <row r="15" spans="1:7">
      <c r="A15" t="s">
        <v>53</v>
      </c>
      <c r="F15" s="4" t="s">
        <v>25</v>
      </c>
      <c r="G15" s="5">
        <v>0.75</v>
      </c>
    </row>
    <row r="16" spans="1:7">
      <c r="A16" t="s">
        <v>30</v>
      </c>
      <c r="B16">
        <v>2</v>
      </c>
      <c r="F16" s="4" t="s">
        <v>37</v>
      </c>
      <c r="G16" s="5">
        <v>16.5</v>
      </c>
    </row>
    <row r="17" spans="1:7">
      <c r="A17" t="s">
        <v>54</v>
      </c>
      <c r="F17" s="4" t="s">
        <v>24</v>
      </c>
      <c r="G17" s="5">
        <v>34.142857142857146</v>
      </c>
    </row>
    <row r="18" spans="1:7">
      <c r="A18" t="s">
        <v>45</v>
      </c>
      <c r="B18">
        <v>23</v>
      </c>
      <c r="F18" s="4" t="s">
        <v>23</v>
      </c>
      <c r="G18" s="5">
        <v>15.714285714285714</v>
      </c>
    </row>
    <row r="19" spans="1:7">
      <c r="A19" t="s">
        <v>55</v>
      </c>
      <c r="F19" s="4" t="s">
        <v>33</v>
      </c>
      <c r="G19" s="5">
        <v>0</v>
      </c>
    </row>
    <row r="20" spans="1:7">
      <c r="A20" t="s">
        <v>43</v>
      </c>
      <c r="B20">
        <v>0</v>
      </c>
      <c r="F20" s="4" t="s">
        <v>26</v>
      </c>
      <c r="G20" s="5">
        <v>7.5</v>
      </c>
    </row>
    <row r="21" spans="1:7">
      <c r="A21" t="s">
        <v>56</v>
      </c>
      <c r="F21" s="4" t="s">
        <v>31</v>
      </c>
      <c r="G21" s="5">
        <v>0</v>
      </c>
    </row>
    <row r="22" spans="1:7">
      <c r="A22" t="s">
        <v>28</v>
      </c>
      <c r="B22">
        <v>4.1428571428571432</v>
      </c>
    </row>
    <row r="23" spans="1:7">
      <c r="B23">
        <v>9.2857142857142865</v>
      </c>
    </row>
    <row r="24" spans="1:7">
      <c r="A24" t="s">
        <v>57</v>
      </c>
    </row>
    <row r="25" spans="1:7">
      <c r="A25" t="s">
        <v>42</v>
      </c>
      <c r="B25">
        <v>12</v>
      </c>
    </row>
    <row r="26" spans="1:7">
      <c r="A26" t="s">
        <v>58</v>
      </c>
    </row>
    <row r="27" spans="1:7">
      <c r="A27" t="s">
        <v>25</v>
      </c>
      <c r="B27">
        <v>0.75</v>
      </c>
    </row>
    <row r="28" spans="1:7">
      <c r="A28" t="s">
        <v>59</v>
      </c>
    </row>
    <row r="29" spans="1:7">
      <c r="A29" t="s">
        <v>37</v>
      </c>
      <c r="B29">
        <v>16.5</v>
      </c>
    </row>
    <row r="30" spans="1:7">
      <c r="A30" t="s">
        <v>60</v>
      </c>
    </row>
    <row r="31" spans="1:7">
      <c r="A31" t="s">
        <v>24</v>
      </c>
      <c r="B31">
        <v>34.142857142857146</v>
      </c>
    </row>
    <row r="32" spans="1:7">
      <c r="A32" t="s">
        <v>61</v>
      </c>
    </row>
    <row r="33" spans="1:2">
      <c r="A33" t="s">
        <v>23</v>
      </c>
      <c r="B33">
        <v>15.714285714285714</v>
      </c>
    </row>
    <row r="34" spans="1:2">
      <c r="A34" t="s">
        <v>62</v>
      </c>
    </row>
    <row r="35" spans="1:2">
      <c r="A35" t="s">
        <v>33</v>
      </c>
      <c r="B35">
        <v>0</v>
      </c>
    </row>
    <row r="36" spans="1:2">
      <c r="A36" t="s">
        <v>63</v>
      </c>
    </row>
    <row r="37" spans="1:2">
      <c r="A37" t="s">
        <v>26</v>
      </c>
      <c r="B37">
        <v>7.5</v>
      </c>
    </row>
    <row r="38" spans="1:2">
      <c r="A38" t="s">
        <v>64</v>
      </c>
    </row>
    <row r="39" spans="1:2">
      <c r="A39" t="s">
        <v>31</v>
      </c>
      <c r="B39">
        <v>0</v>
      </c>
    </row>
    <row r="40" spans="1:2">
      <c r="A40" t="s">
        <v>65</v>
      </c>
    </row>
    <row r="41" spans="1:2">
      <c r="A41" t="s">
        <v>66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3C16-3B74-44D7-B174-383EF0AC404A}">
  <dimension ref="A2:F39"/>
  <sheetViews>
    <sheetView topLeftCell="U1" workbookViewId="0">
      <selection activeCell="F26" sqref="F26"/>
    </sheetView>
  </sheetViews>
  <sheetFormatPr defaultRowHeight="15"/>
  <cols>
    <col min="1" max="1" width="17.140625" bestFit="1" customWidth="1"/>
    <col min="2" max="2" width="50.140625" bestFit="1" customWidth="1"/>
    <col min="5" max="5" width="34.28515625" customWidth="1"/>
    <col min="6" max="6" width="44.85546875" customWidth="1"/>
  </cols>
  <sheetData>
    <row r="2" spans="1:6">
      <c r="A2" s="2" t="s">
        <v>1</v>
      </c>
      <c r="B2" s="2" t="s">
        <v>19</v>
      </c>
      <c r="E2" s="6" t="s">
        <v>1</v>
      </c>
      <c r="F2" s="6" t="s">
        <v>67</v>
      </c>
    </row>
    <row r="3" spans="1:6">
      <c r="A3" t="s">
        <v>36</v>
      </c>
      <c r="B3">
        <v>0.66666666666666663</v>
      </c>
      <c r="E3" s="8" t="s">
        <v>36</v>
      </c>
      <c r="F3" s="9">
        <v>0.66666666666666663</v>
      </c>
    </row>
    <row r="4" spans="1:6">
      <c r="A4" t="s">
        <v>48</v>
      </c>
      <c r="E4" s="7" t="s">
        <v>29</v>
      </c>
      <c r="F4" s="5">
        <v>8.5916666666666668</v>
      </c>
    </row>
    <row r="5" spans="1:6">
      <c r="A5" t="s">
        <v>29</v>
      </c>
      <c r="B5">
        <v>8.5916666666666668</v>
      </c>
      <c r="E5" s="7" t="s">
        <v>46</v>
      </c>
      <c r="F5" s="5">
        <v>0</v>
      </c>
    </row>
    <row r="6" spans="1:6">
      <c r="A6" t="s">
        <v>49</v>
      </c>
      <c r="E6" s="7" t="s">
        <v>27</v>
      </c>
      <c r="F6" s="5">
        <v>3.0333333333333332</v>
      </c>
    </row>
    <row r="7" spans="1:6">
      <c r="A7" t="s">
        <v>46</v>
      </c>
      <c r="B7">
        <v>0</v>
      </c>
      <c r="E7" s="7" t="s">
        <v>40</v>
      </c>
      <c r="F7" s="5">
        <v>0</v>
      </c>
    </row>
    <row r="8" spans="1:6">
      <c r="A8" t="s">
        <v>50</v>
      </c>
      <c r="E8" s="7" t="s">
        <v>34</v>
      </c>
      <c r="F8" s="5">
        <v>0</v>
      </c>
    </row>
    <row r="9" spans="1:6">
      <c r="A9" t="s">
        <v>27</v>
      </c>
      <c r="B9">
        <v>3.0333333333333332</v>
      </c>
      <c r="E9" s="7" t="s">
        <v>30</v>
      </c>
      <c r="F9" s="5">
        <v>2</v>
      </c>
    </row>
    <row r="10" spans="1:6">
      <c r="A10" t="s">
        <v>51</v>
      </c>
      <c r="E10" s="7" t="s">
        <v>45</v>
      </c>
      <c r="F10" s="5">
        <v>7.666666666666667</v>
      </c>
    </row>
    <row r="11" spans="1:6">
      <c r="A11" t="s">
        <v>40</v>
      </c>
      <c r="B11">
        <v>0</v>
      </c>
      <c r="E11" s="7" t="s">
        <v>43</v>
      </c>
      <c r="F11" s="5">
        <v>0</v>
      </c>
    </row>
    <row r="12" spans="1:6">
      <c r="A12" t="s">
        <v>52</v>
      </c>
      <c r="E12" s="7" t="s">
        <v>28</v>
      </c>
      <c r="F12" s="5">
        <v>2.0476190476190479</v>
      </c>
    </row>
    <row r="13" spans="1:6">
      <c r="A13" t="s">
        <v>34</v>
      </c>
      <c r="B13">
        <v>0</v>
      </c>
      <c r="E13" s="7" t="s">
        <v>42</v>
      </c>
      <c r="F13" s="5">
        <v>4</v>
      </c>
    </row>
    <row r="14" spans="1:6">
      <c r="A14" t="s">
        <v>53</v>
      </c>
      <c r="E14" s="7" t="s">
        <v>25</v>
      </c>
      <c r="F14" s="5">
        <v>0.25</v>
      </c>
    </row>
    <row r="15" spans="1:6">
      <c r="A15" t="s">
        <v>30</v>
      </c>
      <c r="B15">
        <v>2</v>
      </c>
      <c r="E15" s="7" t="s">
        <v>37</v>
      </c>
      <c r="F15" s="5">
        <v>16.5</v>
      </c>
    </row>
    <row r="16" spans="1:6">
      <c r="A16" t="s">
        <v>54</v>
      </c>
      <c r="E16" s="7" t="s">
        <v>24</v>
      </c>
      <c r="F16" s="5">
        <v>6.9095238095238107</v>
      </c>
    </row>
    <row r="17" spans="1:6">
      <c r="A17" t="s">
        <v>45</v>
      </c>
      <c r="B17">
        <v>7.666666666666667</v>
      </c>
      <c r="E17" s="7" t="s">
        <v>23</v>
      </c>
      <c r="F17" s="5">
        <v>2.9843537414965984</v>
      </c>
    </row>
    <row r="18" spans="1:6">
      <c r="A18" t="s">
        <v>55</v>
      </c>
      <c r="E18" s="7" t="s">
        <v>33</v>
      </c>
      <c r="F18" s="5">
        <v>0</v>
      </c>
    </row>
    <row r="19" spans="1:6">
      <c r="A19" t="s">
        <v>43</v>
      </c>
      <c r="B19">
        <v>0</v>
      </c>
      <c r="E19" s="7" t="s">
        <v>26</v>
      </c>
      <c r="F19" s="5">
        <v>3.7333333333333329</v>
      </c>
    </row>
    <row r="20" spans="1:6">
      <c r="A20" t="s">
        <v>56</v>
      </c>
      <c r="E20" s="7" t="s">
        <v>31</v>
      </c>
      <c r="F20" s="5">
        <v>0</v>
      </c>
    </row>
    <row r="21" spans="1:6">
      <c r="A21" t="s">
        <v>28</v>
      </c>
      <c r="B21">
        <v>2.0476190476190479</v>
      </c>
    </row>
    <row r="22" spans="1:6">
      <c r="A22" t="s">
        <v>57</v>
      </c>
    </row>
    <row r="23" spans="1:6">
      <c r="A23" t="s">
        <v>42</v>
      </c>
      <c r="B23">
        <v>4</v>
      </c>
    </row>
    <row r="24" spans="1:6">
      <c r="A24" t="s">
        <v>58</v>
      </c>
    </row>
    <row r="25" spans="1:6">
      <c r="A25" t="s">
        <v>25</v>
      </c>
      <c r="B25">
        <v>0.25</v>
      </c>
    </row>
    <row r="26" spans="1:6">
      <c r="A26" t="s">
        <v>59</v>
      </c>
    </row>
    <row r="27" spans="1:6">
      <c r="A27" t="s">
        <v>37</v>
      </c>
      <c r="B27">
        <v>16.5</v>
      </c>
    </row>
    <row r="28" spans="1:6">
      <c r="A28" t="s">
        <v>60</v>
      </c>
    </row>
    <row r="29" spans="1:6">
      <c r="A29" t="s">
        <v>24</v>
      </c>
      <c r="B29">
        <v>6.9095238095238107</v>
      </c>
    </row>
    <row r="30" spans="1:6">
      <c r="A30" t="s">
        <v>61</v>
      </c>
    </row>
    <row r="31" spans="1:6">
      <c r="A31" t="s">
        <v>23</v>
      </c>
      <c r="B31">
        <v>2.9843537414965984</v>
      </c>
    </row>
    <row r="32" spans="1:6">
      <c r="A32" t="s">
        <v>62</v>
      </c>
    </row>
    <row r="33" spans="1:2">
      <c r="A33" t="s">
        <v>33</v>
      </c>
      <c r="B33">
        <v>0</v>
      </c>
    </row>
    <row r="34" spans="1:2">
      <c r="A34" t="s">
        <v>63</v>
      </c>
    </row>
    <row r="35" spans="1:2">
      <c r="A35" t="s">
        <v>26</v>
      </c>
      <c r="B35">
        <v>3.7333333333333329</v>
      </c>
    </row>
    <row r="36" spans="1:2">
      <c r="A36" t="s">
        <v>64</v>
      </c>
    </row>
    <row r="37" spans="1:2">
      <c r="A37" t="s">
        <v>31</v>
      </c>
      <c r="B37">
        <v>0</v>
      </c>
    </row>
    <row r="38" spans="1:2">
      <c r="A38" t="s">
        <v>65</v>
      </c>
    </row>
    <row r="39" spans="1:2">
      <c r="A39" t="s">
        <v>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31B8-BA8E-482D-A68C-88FCC798328E}">
  <dimension ref="A2:AP80"/>
  <sheetViews>
    <sheetView workbookViewId="0">
      <selection activeCell="AN22" sqref="AN22"/>
    </sheetView>
  </sheetViews>
  <sheetFormatPr defaultRowHeight="15"/>
  <cols>
    <col min="1" max="1" width="17.140625" bestFit="1" customWidth="1"/>
    <col min="2" max="2" width="9.5703125" bestFit="1" customWidth="1"/>
    <col min="3" max="3" width="17.85546875" bestFit="1" customWidth="1"/>
    <col min="4" max="4" width="15.5703125" bestFit="1" customWidth="1"/>
    <col min="5" max="9" width="2.28515625" bestFit="1" customWidth="1"/>
    <col min="10" max="10" width="3.28515625" bestFit="1" customWidth="1"/>
    <col min="11" max="11" width="17.42578125" customWidth="1"/>
    <col min="12" max="12" width="18.7109375" customWidth="1"/>
    <col min="13" max="13" width="7.5703125" customWidth="1"/>
    <col min="14" max="14" width="10.5703125" customWidth="1"/>
    <col min="15" max="37" width="3.28515625" bestFit="1" customWidth="1"/>
    <col min="38" max="39" width="4.42578125" bestFit="1" customWidth="1"/>
    <col min="40" max="40" width="7.5703125" customWidth="1"/>
    <col min="41" max="41" width="8.28515625" customWidth="1"/>
    <col min="42" max="43" width="4.42578125" bestFit="1" customWidth="1"/>
    <col min="44" max="44" width="11.7109375" bestFit="1" customWidth="1"/>
  </cols>
  <sheetData>
    <row r="2" spans="1:42">
      <c r="A2" s="2" t="s">
        <v>1</v>
      </c>
      <c r="B2" s="2" t="s">
        <v>0</v>
      </c>
      <c r="C2" t="s">
        <v>68</v>
      </c>
      <c r="D2" t="s">
        <v>69</v>
      </c>
      <c r="K2" t="s">
        <v>23</v>
      </c>
      <c r="L2" s="16" t="s">
        <v>70</v>
      </c>
      <c r="M2" s="16" t="s">
        <v>0</v>
      </c>
      <c r="N2" s="16" t="s">
        <v>71</v>
      </c>
    </row>
    <row r="3" spans="1:42">
      <c r="A3" t="s">
        <v>36</v>
      </c>
      <c r="B3" t="s">
        <v>44</v>
      </c>
      <c r="C3">
        <v>0</v>
      </c>
      <c r="D3">
        <v>0</v>
      </c>
      <c r="L3" s="5">
        <v>3</v>
      </c>
      <c r="M3" s="17" t="s">
        <v>32</v>
      </c>
      <c r="N3" s="5">
        <v>33</v>
      </c>
      <c r="AN3" t="s">
        <v>0</v>
      </c>
      <c r="AO3" t="s">
        <v>1</v>
      </c>
      <c r="AP3" t="s">
        <v>72</v>
      </c>
    </row>
    <row r="4" spans="1:42">
      <c r="B4" t="s">
        <v>35</v>
      </c>
      <c r="C4">
        <v>16</v>
      </c>
      <c r="D4">
        <v>3</v>
      </c>
      <c r="L4" s="5">
        <v>7</v>
      </c>
      <c r="M4" s="17" t="s">
        <v>22</v>
      </c>
      <c r="N4" s="5">
        <v>180</v>
      </c>
    </row>
    <row r="5" spans="1:42">
      <c r="B5" t="s">
        <v>38</v>
      </c>
      <c r="C5">
        <v>0</v>
      </c>
      <c r="D5">
        <v>0</v>
      </c>
      <c r="L5" s="5">
        <v>10</v>
      </c>
      <c r="M5" s="17" t="s">
        <v>44</v>
      </c>
      <c r="N5" s="5">
        <v>131</v>
      </c>
    </row>
    <row r="6" spans="1:42">
      <c r="A6" t="s">
        <v>48</v>
      </c>
      <c r="C6">
        <v>16</v>
      </c>
      <c r="D6">
        <v>3</v>
      </c>
      <c r="L6" s="5">
        <v>3</v>
      </c>
      <c r="M6" s="17" t="s">
        <v>39</v>
      </c>
      <c r="N6" s="5">
        <v>111</v>
      </c>
    </row>
    <row r="7" spans="1:42">
      <c r="A7" t="s">
        <v>29</v>
      </c>
      <c r="B7" t="s">
        <v>22</v>
      </c>
      <c r="C7">
        <v>8</v>
      </c>
      <c r="D7">
        <v>1</v>
      </c>
      <c r="L7" s="5">
        <v>6</v>
      </c>
      <c r="M7" s="17" t="s">
        <v>35</v>
      </c>
      <c r="N7" s="5">
        <v>67</v>
      </c>
    </row>
    <row r="8" spans="1:42">
      <c r="B8" t="s">
        <v>44</v>
      </c>
      <c r="C8">
        <v>12</v>
      </c>
      <c r="D8">
        <v>1</v>
      </c>
      <c r="L8" s="5">
        <v>5</v>
      </c>
      <c r="M8" s="17" t="s">
        <v>38</v>
      </c>
      <c r="N8" s="5">
        <v>103</v>
      </c>
    </row>
    <row r="9" spans="1:42">
      <c r="B9" t="s">
        <v>39</v>
      </c>
      <c r="C9">
        <v>13</v>
      </c>
      <c r="D9">
        <v>2</v>
      </c>
      <c r="L9" s="5">
        <v>9</v>
      </c>
      <c r="M9" s="17" t="s">
        <v>41</v>
      </c>
      <c r="N9" s="5">
        <v>200</v>
      </c>
    </row>
    <row r="10" spans="1:42">
      <c r="B10" t="s">
        <v>35</v>
      </c>
      <c r="C10">
        <v>60</v>
      </c>
      <c r="D10">
        <v>5</v>
      </c>
    </row>
    <row r="11" spans="1:42">
      <c r="B11" t="s">
        <v>38</v>
      </c>
      <c r="C11">
        <v>24</v>
      </c>
      <c r="D11">
        <v>4</v>
      </c>
    </row>
    <row r="12" spans="1:42">
      <c r="B12" t="s">
        <v>41</v>
      </c>
      <c r="C12">
        <v>24</v>
      </c>
      <c r="D12">
        <v>3</v>
      </c>
    </row>
    <row r="13" spans="1:42">
      <c r="A13" t="s">
        <v>49</v>
      </c>
      <c r="C13">
        <v>141</v>
      </c>
      <c r="D13">
        <v>16</v>
      </c>
    </row>
    <row r="14" spans="1:42">
      <c r="A14" t="s">
        <v>46</v>
      </c>
      <c r="B14" t="s">
        <v>44</v>
      </c>
      <c r="C14">
        <v>6</v>
      </c>
      <c r="D14">
        <v>1</v>
      </c>
    </row>
    <row r="15" spans="1:42">
      <c r="A15" t="s">
        <v>50</v>
      </c>
      <c r="C15">
        <v>6</v>
      </c>
      <c r="D15">
        <v>1</v>
      </c>
    </row>
    <row r="16" spans="1:42">
      <c r="A16" t="s">
        <v>27</v>
      </c>
      <c r="B16" t="s">
        <v>32</v>
      </c>
      <c r="C16">
        <v>51</v>
      </c>
      <c r="D16">
        <v>5</v>
      </c>
    </row>
    <row r="17" spans="1:4">
      <c r="B17" t="s">
        <v>22</v>
      </c>
      <c r="C17">
        <v>18</v>
      </c>
      <c r="D17">
        <v>2</v>
      </c>
    </row>
    <row r="18" spans="1:4">
      <c r="B18" t="s">
        <v>39</v>
      </c>
      <c r="C18">
        <v>16</v>
      </c>
      <c r="D18">
        <v>2</v>
      </c>
    </row>
    <row r="19" spans="1:4">
      <c r="B19" t="s">
        <v>35</v>
      </c>
      <c r="C19">
        <v>22</v>
      </c>
      <c r="D19">
        <v>3</v>
      </c>
    </row>
    <row r="20" spans="1:4">
      <c r="B20" t="s">
        <v>38</v>
      </c>
      <c r="C20">
        <v>119</v>
      </c>
      <c r="D20">
        <v>6</v>
      </c>
    </row>
    <row r="21" spans="1:4">
      <c r="B21" t="s">
        <v>41</v>
      </c>
      <c r="C21">
        <v>5</v>
      </c>
      <c r="D21">
        <v>1</v>
      </c>
    </row>
    <row r="22" spans="1:4">
      <c r="A22" t="s">
        <v>51</v>
      </c>
      <c r="C22">
        <v>231</v>
      </c>
      <c r="D22">
        <v>19</v>
      </c>
    </row>
    <row r="23" spans="1:4">
      <c r="A23" t="s">
        <v>40</v>
      </c>
      <c r="B23" t="s">
        <v>39</v>
      </c>
      <c r="C23">
        <v>0</v>
      </c>
      <c r="D23">
        <v>0</v>
      </c>
    </row>
    <row r="24" spans="1:4">
      <c r="A24" t="s">
        <v>52</v>
      </c>
      <c r="C24">
        <v>0</v>
      </c>
      <c r="D24">
        <v>0</v>
      </c>
    </row>
    <row r="25" spans="1:4">
      <c r="A25" t="s">
        <v>34</v>
      </c>
      <c r="B25" t="s">
        <v>32</v>
      </c>
      <c r="C25">
        <v>0</v>
      </c>
      <c r="D25">
        <v>1</v>
      </c>
    </row>
    <row r="26" spans="1:4">
      <c r="A26" t="s">
        <v>53</v>
      </c>
      <c r="C26">
        <v>0</v>
      </c>
      <c r="D26">
        <v>1</v>
      </c>
    </row>
    <row r="27" spans="1:4">
      <c r="A27" t="s">
        <v>30</v>
      </c>
      <c r="B27" t="s">
        <v>22</v>
      </c>
      <c r="C27">
        <v>5</v>
      </c>
      <c r="D27">
        <v>1</v>
      </c>
    </row>
    <row r="28" spans="1:4">
      <c r="B28" t="s">
        <v>38</v>
      </c>
      <c r="C28">
        <v>15</v>
      </c>
      <c r="D28">
        <v>1</v>
      </c>
    </row>
    <row r="29" spans="1:4">
      <c r="B29" t="s">
        <v>41</v>
      </c>
      <c r="C29">
        <v>0</v>
      </c>
      <c r="D29">
        <v>0</v>
      </c>
    </row>
    <row r="30" spans="1:4">
      <c r="A30" t="s">
        <v>54</v>
      </c>
      <c r="C30">
        <v>20</v>
      </c>
      <c r="D30">
        <v>2</v>
      </c>
    </row>
    <row r="31" spans="1:4">
      <c r="A31" t="s">
        <v>45</v>
      </c>
      <c r="B31" t="s">
        <v>44</v>
      </c>
      <c r="C31">
        <v>28</v>
      </c>
      <c r="D31">
        <v>3</v>
      </c>
    </row>
    <row r="32" spans="1:4">
      <c r="A32" t="s">
        <v>55</v>
      </c>
      <c r="C32">
        <v>28</v>
      </c>
      <c r="D32">
        <v>3</v>
      </c>
    </row>
    <row r="33" spans="1:4">
      <c r="A33" t="s">
        <v>43</v>
      </c>
      <c r="B33" t="s">
        <v>41</v>
      </c>
      <c r="C33">
        <v>29</v>
      </c>
      <c r="D33">
        <v>1</v>
      </c>
    </row>
    <row r="34" spans="1:4">
      <c r="A34" t="s">
        <v>56</v>
      </c>
      <c r="C34">
        <v>29</v>
      </c>
      <c r="D34">
        <v>1</v>
      </c>
    </row>
    <row r="35" spans="1:4">
      <c r="A35" t="s">
        <v>28</v>
      </c>
      <c r="B35" t="s">
        <v>32</v>
      </c>
      <c r="C35">
        <v>5</v>
      </c>
      <c r="D35">
        <v>1</v>
      </c>
    </row>
    <row r="36" spans="1:4">
      <c r="B36" t="s">
        <v>22</v>
      </c>
      <c r="C36">
        <v>9</v>
      </c>
      <c r="D36">
        <v>1</v>
      </c>
    </row>
    <row r="37" spans="1:4">
      <c r="B37" t="s">
        <v>44</v>
      </c>
      <c r="C37">
        <v>29</v>
      </c>
      <c r="D37">
        <v>3</v>
      </c>
    </row>
    <row r="38" spans="1:4">
      <c r="B38" t="s">
        <v>39</v>
      </c>
      <c r="C38">
        <v>31</v>
      </c>
      <c r="D38">
        <v>3</v>
      </c>
    </row>
    <row r="39" spans="1:4">
      <c r="B39" t="s">
        <v>35</v>
      </c>
      <c r="C39">
        <v>36</v>
      </c>
      <c r="D39">
        <v>2</v>
      </c>
    </row>
    <row r="40" spans="1:4">
      <c r="B40" t="s">
        <v>38</v>
      </c>
      <c r="C40">
        <v>25</v>
      </c>
      <c r="D40">
        <v>2</v>
      </c>
    </row>
    <row r="41" spans="1:4">
      <c r="B41" t="s">
        <v>41</v>
      </c>
      <c r="C41">
        <v>10</v>
      </c>
      <c r="D41">
        <v>2</v>
      </c>
    </row>
    <row r="42" spans="1:4">
      <c r="A42" t="s">
        <v>57</v>
      </c>
      <c r="C42">
        <v>145</v>
      </c>
      <c r="D42">
        <v>14</v>
      </c>
    </row>
    <row r="43" spans="1:4">
      <c r="A43" t="s">
        <v>42</v>
      </c>
      <c r="B43" t="s">
        <v>41</v>
      </c>
      <c r="C43">
        <v>26</v>
      </c>
      <c r="D43">
        <v>3</v>
      </c>
    </row>
    <row r="44" spans="1:4">
      <c r="A44" t="s">
        <v>58</v>
      </c>
      <c r="C44">
        <v>26</v>
      </c>
      <c r="D44">
        <v>3</v>
      </c>
    </row>
    <row r="45" spans="1:4">
      <c r="A45" t="s">
        <v>25</v>
      </c>
      <c r="B45" t="s">
        <v>32</v>
      </c>
      <c r="C45">
        <v>0</v>
      </c>
      <c r="D45">
        <v>1</v>
      </c>
    </row>
    <row r="46" spans="1:4">
      <c r="B46" t="s">
        <v>22</v>
      </c>
      <c r="C46">
        <v>32</v>
      </c>
      <c r="D46">
        <v>2</v>
      </c>
    </row>
    <row r="47" spans="1:4">
      <c r="B47" t="s">
        <v>35</v>
      </c>
      <c r="C47">
        <v>29</v>
      </c>
      <c r="D47">
        <v>2</v>
      </c>
    </row>
    <row r="48" spans="1:4">
      <c r="B48" t="s">
        <v>41</v>
      </c>
      <c r="C48">
        <v>74</v>
      </c>
      <c r="D48">
        <v>3</v>
      </c>
    </row>
    <row r="49" spans="1:4">
      <c r="A49" t="s">
        <v>59</v>
      </c>
      <c r="C49">
        <v>135</v>
      </c>
      <c r="D49">
        <v>8</v>
      </c>
    </row>
    <row r="50" spans="1:4">
      <c r="A50" t="s">
        <v>37</v>
      </c>
      <c r="B50" t="s">
        <v>35</v>
      </c>
      <c r="C50">
        <v>29</v>
      </c>
      <c r="D50">
        <v>1</v>
      </c>
    </row>
    <row r="51" spans="1:4">
      <c r="B51" t="s">
        <v>38</v>
      </c>
      <c r="C51">
        <v>12</v>
      </c>
      <c r="D51">
        <v>1</v>
      </c>
    </row>
    <row r="52" spans="1:4">
      <c r="A52" t="s">
        <v>60</v>
      </c>
      <c r="C52">
        <v>41</v>
      </c>
      <c r="D52">
        <v>2</v>
      </c>
    </row>
    <row r="53" spans="1:4">
      <c r="A53" t="s">
        <v>24</v>
      </c>
      <c r="B53" t="s">
        <v>32</v>
      </c>
      <c r="C53">
        <v>46</v>
      </c>
      <c r="D53">
        <v>6</v>
      </c>
    </row>
    <row r="54" spans="1:4">
      <c r="B54" t="s">
        <v>22</v>
      </c>
      <c r="C54">
        <v>111</v>
      </c>
      <c r="D54">
        <v>5</v>
      </c>
    </row>
    <row r="55" spans="1:4">
      <c r="B55" t="s">
        <v>44</v>
      </c>
      <c r="C55">
        <v>63</v>
      </c>
      <c r="D55">
        <v>6</v>
      </c>
    </row>
    <row r="56" spans="1:4">
      <c r="B56" t="s">
        <v>39</v>
      </c>
      <c r="C56">
        <v>65</v>
      </c>
      <c r="D56">
        <v>5</v>
      </c>
    </row>
    <row r="57" spans="1:4">
      <c r="B57" t="s">
        <v>35</v>
      </c>
      <c r="C57">
        <v>79</v>
      </c>
      <c r="D57">
        <v>5</v>
      </c>
    </row>
    <row r="58" spans="1:4">
      <c r="B58" t="s">
        <v>38</v>
      </c>
      <c r="C58">
        <v>94</v>
      </c>
      <c r="D58">
        <v>6</v>
      </c>
    </row>
    <row r="59" spans="1:4">
      <c r="B59" t="s">
        <v>41</v>
      </c>
      <c r="C59">
        <v>63</v>
      </c>
      <c r="D59">
        <v>3</v>
      </c>
    </row>
    <row r="60" spans="1:4">
      <c r="A60" t="s">
        <v>61</v>
      </c>
      <c r="C60">
        <v>521</v>
      </c>
      <c r="D60">
        <v>36</v>
      </c>
    </row>
    <row r="61" spans="1:4">
      <c r="A61" t="s">
        <v>23</v>
      </c>
      <c r="B61" t="s">
        <v>32</v>
      </c>
      <c r="C61">
        <v>33</v>
      </c>
      <c r="D61">
        <v>3</v>
      </c>
    </row>
    <row r="62" spans="1:4">
      <c r="B62" t="s">
        <v>22</v>
      </c>
      <c r="C62">
        <v>180</v>
      </c>
      <c r="D62">
        <v>7</v>
      </c>
    </row>
    <row r="63" spans="1:4">
      <c r="B63" t="s">
        <v>44</v>
      </c>
      <c r="C63">
        <v>131</v>
      </c>
      <c r="D63">
        <v>10</v>
      </c>
    </row>
    <row r="64" spans="1:4">
      <c r="B64" t="s">
        <v>39</v>
      </c>
      <c r="C64">
        <v>111</v>
      </c>
      <c r="D64">
        <v>3</v>
      </c>
    </row>
    <row r="65" spans="1:4">
      <c r="B65" t="s">
        <v>35</v>
      </c>
      <c r="C65">
        <v>67</v>
      </c>
      <c r="D65">
        <v>6</v>
      </c>
    </row>
    <row r="66" spans="1:4">
      <c r="B66" t="s">
        <v>38</v>
      </c>
      <c r="C66">
        <v>103</v>
      </c>
      <c r="D66">
        <v>5</v>
      </c>
    </row>
    <row r="67" spans="1:4">
      <c r="B67" t="s">
        <v>41</v>
      </c>
      <c r="C67">
        <v>200</v>
      </c>
      <c r="D67">
        <v>9</v>
      </c>
    </row>
    <row r="68" spans="1:4">
      <c r="A68" t="s">
        <v>62</v>
      </c>
      <c r="C68">
        <v>825</v>
      </c>
      <c r="D68">
        <v>43</v>
      </c>
    </row>
    <row r="69" spans="1:4">
      <c r="A69" t="s">
        <v>33</v>
      </c>
      <c r="B69" t="s">
        <v>32</v>
      </c>
      <c r="C69">
        <v>2</v>
      </c>
      <c r="D69">
        <v>1</v>
      </c>
    </row>
    <row r="70" spans="1:4">
      <c r="A70" t="s">
        <v>63</v>
      </c>
      <c r="C70">
        <v>2</v>
      </c>
      <c r="D70">
        <v>1</v>
      </c>
    </row>
    <row r="71" spans="1:4">
      <c r="A71" t="s">
        <v>26</v>
      </c>
      <c r="B71" t="s">
        <v>32</v>
      </c>
      <c r="C71">
        <v>44</v>
      </c>
      <c r="D71">
        <v>5</v>
      </c>
    </row>
    <row r="72" spans="1:4">
      <c r="B72" t="s">
        <v>22</v>
      </c>
      <c r="C72">
        <v>28</v>
      </c>
      <c r="D72">
        <v>2</v>
      </c>
    </row>
    <row r="73" spans="1:4">
      <c r="B73" t="s">
        <v>39</v>
      </c>
      <c r="C73">
        <v>6</v>
      </c>
      <c r="D73">
        <v>1</v>
      </c>
    </row>
    <row r="74" spans="1:4">
      <c r="B74" t="s">
        <v>35</v>
      </c>
      <c r="C74">
        <v>8</v>
      </c>
      <c r="D74">
        <v>1</v>
      </c>
    </row>
    <row r="75" spans="1:4">
      <c r="B75" t="s">
        <v>38</v>
      </c>
      <c r="C75">
        <v>21</v>
      </c>
      <c r="D75">
        <v>1</v>
      </c>
    </row>
    <row r="76" spans="1:4">
      <c r="B76" t="s">
        <v>41</v>
      </c>
      <c r="C76">
        <v>14</v>
      </c>
      <c r="D76">
        <v>1</v>
      </c>
    </row>
    <row r="77" spans="1:4">
      <c r="A77" t="s">
        <v>64</v>
      </c>
      <c r="C77">
        <v>121</v>
      </c>
      <c r="D77">
        <v>11</v>
      </c>
    </row>
    <row r="78" spans="1:4">
      <c r="A78" t="s">
        <v>31</v>
      </c>
      <c r="B78" t="s">
        <v>22</v>
      </c>
      <c r="C78">
        <v>4</v>
      </c>
      <c r="D78">
        <v>1</v>
      </c>
    </row>
    <row r="79" spans="1:4">
      <c r="A79" t="s">
        <v>65</v>
      </c>
      <c r="C79">
        <v>4</v>
      </c>
      <c r="D79">
        <v>1</v>
      </c>
    </row>
    <row r="80" spans="1:4">
      <c r="A80" t="s">
        <v>66</v>
      </c>
      <c r="C80">
        <v>2291</v>
      </c>
      <c r="D80">
        <v>165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75FE-718C-48BA-97BB-8204780861E9}">
  <dimension ref="A2:F40"/>
  <sheetViews>
    <sheetView topLeftCell="D1" workbookViewId="0">
      <selection activeCell="E2" sqref="E2"/>
    </sheetView>
  </sheetViews>
  <sheetFormatPr defaultRowHeight="15"/>
  <cols>
    <col min="1" max="1" width="17.140625" bestFit="1" customWidth="1"/>
    <col min="2" max="2" width="23.140625" bestFit="1" customWidth="1"/>
    <col min="3" max="4" width="2.28515625" bestFit="1" customWidth="1"/>
    <col min="5" max="5" width="14.85546875" customWidth="1"/>
    <col min="6" max="6" width="33.5703125" customWidth="1"/>
    <col min="7" max="11" width="3.28515625" bestFit="1" customWidth="1"/>
    <col min="12" max="19" width="4.42578125" bestFit="1" customWidth="1"/>
    <col min="20" max="20" width="11.7109375" bestFit="1" customWidth="1"/>
  </cols>
  <sheetData>
    <row r="2" spans="1:6">
      <c r="A2" s="2" t="s">
        <v>1</v>
      </c>
      <c r="B2" s="2" t="s">
        <v>17</v>
      </c>
      <c r="E2" s="18" t="s">
        <v>1</v>
      </c>
      <c r="F2" s="18" t="s">
        <v>73</v>
      </c>
    </row>
    <row r="3" spans="1:6">
      <c r="A3" t="s">
        <v>36</v>
      </c>
      <c r="B3">
        <v>22</v>
      </c>
      <c r="E3" s="19" t="s">
        <v>36</v>
      </c>
      <c r="F3" s="5">
        <v>22</v>
      </c>
    </row>
    <row r="4" spans="1:6">
      <c r="A4" t="s">
        <v>48</v>
      </c>
      <c r="E4" s="19" t="s">
        <v>29</v>
      </c>
      <c r="F4" s="5">
        <v>265</v>
      </c>
    </row>
    <row r="5" spans="1:6">
      <c r="A5" t="s">
        <v>29</v>
      </c>
      <c r="B5">
        <v>265</v>
      </c>
      <c r="E5" s="19" t="s">
        <v>46</v>
      </c>
      <c r="F5" s="5">
        <v>6</v>
      </c>
    </row>
    <row r="6" spans="1:6">
      <c r="A6" t="s">
        <v>49</v>
      </c>
      <c r="E6" s="19" t="s">
        <v>27</v>
      </c>
      <c r="F6" s="5">
        <v>314</v>
      </c>
    </row>
    <row r="7" spans="1:6">
      <c r="A7" t="s">
        <v>46</v>
      </c>
      <c r="B7">
        <v>6</v>
      </c>
      <c r="E7" s="19" t="s">
        <v>40</v>
      </c>
      <c r="F7" s="5">
        <v>0</v>
      </c>
    </row>
    <row r="8" spans="1:6">
      <c r="A8" t="s">
        <v>50</v>
      </c>
      <c r="E8" s="19" t="s">
        <v>34</v>
      </c>
      <c r="F8" s="5">
        <v>0</v>
      </c>
    </row>
    <row r="9" spans="1:6">
      <c r="A9" t="s">
        <v>27</v>
      </c>
      <c r="B9">
        <v>314</v>
      </c>
      <c r="E9" s="19" t="s">
        <v>30</v>
      </c>
      <c r="F9" s="5">
        <v>26</v>
      </c>
    </row>
    <row r="10" spans="1:6">
      <c r="A10" t="s">
        <v>51</v>
      </c>
      <c r="E10" s="19" t="s">
        <v>74</v>
      </c>
      <c r="F10" s="5">
        <v>51</v>
      </c>
    </row>
    <row r="11" spans="1:6">
      <c r="A11" t="s">
        <v>40</v>
      </c>
      <c r="B11">
        <v>0</v>
      </c>
      <c r="E11" s="19" t="s">
        <v>43</v>
      </c>
      <c r="F11" s="5">
        <v>29</v>
      </c>
    </row>
    <row r="12" spans="1:6">
      <c r="A12" t="s">
        <v>52</v>
      </c>
      <c r="E12" s="19" t="s">
        <v>28</v>
      </c>
      <c r="F12" s="5">
        <v>210</v>
      </c>
    </row>
    <row r="13" spans="1:6">
      <c r="A13" t="s">
        <v>34</v>
      </c>
      <c r="B13">
        <v>0</v>
      </c>
      <c r="E13" s="19" t="s">
        <v>42</v>
      </c>
      <c r="F13" s="5">
        <v>38</v>
      </c>
    </row>
    <row r="14" spans="1:6">
      <c r="A14" t="s">
        <v>53</v>
      </c>
      <c r="E14" s="19" t="s">
        <v>25</v>
      </c>
      <c r="F14" s="5">
        <v>138</v>
      </c>
    </row>
    <row r="15" spans="1:6">
      <c r="A15" t="s">
        <v>30</v>
      </c>
      <c r="B15">
        <v>26</v>
      </c>
      <c r="E15" s="19" t="s">
        <v>37</v>
      </c>
      <c r="F15" s="5">
        <v>74</v>
      </c>
    </row>
    <row r="16" spans="1:6">
      <c r="A16" t="s">
        <v>54</v>
      </c>
      <c r="E16" s="19" t="s">
        <v>24</v>
      </c>
      <c r="F16" s="5">
        <v>760</v>
      </c>
    </row>
    <row r="17" spans="1:6">
      <c r="A17" t="s">
        <v>45</v>
      </c>
      <c r="B17">
        <v>51</v>
      </c>
      <c r="E17" s="19" t="s">
        <v>23</v>
      </c>
      <c r="F17" s="5">
        <v>935</v>
      </c>
    </row>
    <row r="18" spans="1:6">
      <c r="A18" t="s">
        <v>55</v>
      </c>
      <c r="E18" s="19" t="s">
        <v>33</v>
      </c>
      <c r="F18" s="5">
        <v>2</v>
      </c>
    </row>
    <row r="19" spans="1:6">
      <c r="A19" t="s">
        <v>43</v>
      </c>
      <c r="B19">
        <v>29</v>
      </c>
      <c r="E19" s="19" t="s">
        <v>26</v>
      </c>
      <c r="F19" s="5">
        <v>166</v>
      </c>
    </row>
    <row r="20" spans="1:6">
      <c r="A20" t="s">
        <v>56</v>
      </c>
      <c r="E20" s="19" t="s">
        <v>31</v>
      </c>
      <c r="F20" s="5">
        <v>4</v>
      </c>
    </row>
    <row r="21" spans="1:6">
      <c r="A21" t="s">
        <v>28</v>
      </c>
      <c r="B21">
        <v>174</v>
      </c>
    </row>
    <row r="22" spans="1:6">
      <c r="B22">
        <v>210</v>
      </c>
    </row>
    <row r="23" spans="1:6">
      <c r="A23" t="s">
        <v>57</v>
      </c>
    </row>
    <row r="24" spans="1:6">
      <c r="A24" t="s">
        <v>42</v>
      </c>
      <c r="B24">
        <v>38</v>
      </c>
    </row>
    <row r="25" spans="1:6">
      <c r="A25" t="s">
        <v>58</v>
      </c>
    </row>
    <row r="26" spans="1:6">
      <c r="A26" t="s">
        <v>25</v>
      </c>
      <c r="B26">
        <v>138</v>
      </c>
    </row>
    <row r="27" spans="1:6">
      <c r="A27" t="s">
        <v>59</v>
      </c>
    </row>
    <row r="28" spans="1:6">
      <c r="A28" t="s">
        <v>37</v>
      </c>
      <c r="B28">
        <v>74</v>
      </c>
    </row>
    <row r="29" spans="1:6">
      <c r="A29" t="s">
        <v>60</v>
      </c>
    </row>
    <row r="30" spans="1:6">
      <c r="A30" t="s">
        <v>24</v>
      </c>
      <c r="B30">
        <v>760</v>
      </c>
    </row>
    <row r="31" spans="1:6">
      <c r="A31" t="s">
        <v>61</v>
      </c>
    </row>
    <row r="32" spans="1:6">
      <c r="A32" t="s">
        <v>23</v>
      </c>
      <c r="B32">
        <v>935</v>
      </c>
    </row>
    <row r="33" spans="1:2">
      <c r="A33" t="s">
        <v>62</v>
      </c>
    </row>
    <row r="34" spans="1:2">
      <c r="A34" t="s">
        <v>33</v>
      </c>
      <c r="B34">
        <v>2</v>
      </c>
    </row>
    <row r="35" spans="1:2">
      <c r="A35" t="s">
        <v>63</v>
      </c>
    </row>
    <row r="36" spans="1:2">
      <c r="A36" t="s">
        <v>26</v>
      </c>
      <c r="B36">
        <v>166</v>
      </c>
    </row>
    <row r="37" spans="1:2">
      <c r="A37" t="s">
        <v>64</v>
      </c>
    </row>
    <row r="38" spans="1:2">
      <c r="A38" t="s">
        <v>31</v>
      </c>
      <c r="B38">
        <v>4</v>
      </c>
    </row>
    <row r="39" spans="1:2">
      <c r="A39" t="s">
        <v>65</v>
      </c>
    </row>
    <row r="40" spans="1:2">
      <c r="A40" t="s">
        <v>66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2023-01-22T07:35:43Z</dcterms:created>
  <dcterms:modified xsi:type="dcterms:W3CDTF">2026-02-16T06:35:49Z</dcterms:modified>
  <cp:category/>
  <cp:contentStatus/>
</cp:coreProperties>
</file>